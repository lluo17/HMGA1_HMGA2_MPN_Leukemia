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Hematology\Lab Research Folder\Li Luo\Correspondence paper HMGA2\"/>
    </mc:Choice>
  </mc:AlternateContent>
  <xr:revisionPtr revIDLastSave="0" documentId="13_ncr:1_{6F1CD046-3663-4B3F-B19B-5592285DAB99}" xr6:coauthVersionLast="47" xr6:coauthVersionMax="47" xr10:uidLastSave="{00000000-0000-0000-0000-000000000000}"/>
  <bookViews>
    <workbookView xWindow="28680" yWindow="-120" windowWidth="29040" windowHeight="15720" xr2:uid="{E5B40C80-AD45-4CEB-8314-D6A858A97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G46" i="1"/>
  <c r="G45" i="1"/>
  <c r="M46" i="1"/>
  <c r="M49" i="1" s="1"/>
  <c r="L46" i="1"/>
  <c r="K46" i="1"/>
  <c r="J46" i="1"/>
  <c r="J49" i="1"/>
  <c r="O47" i="1"/>
  <c r="O46" i="1"/>
  <c r="K49" i="1"/>
  <c r="C46" i="1"/>
  <c r="C49" i="1" s="1"/>
  <c r="B46" i="1"/>
  <c r="J45" i="1"/>
  <c r="L49" i="1"/>
  <c r="E49" i="1"/>
  <c r="D49" i="1"/>
  <c r="B49" i="1"/>
  <c r="D46" i="1"/>
  <c r="D45" i="1"/>
  <c r="C45" i="1"/>
  <c r="B45" i="1"/>
  <c r="L45" i="1"/>
  <c r="O48" i="1"/>
  <c r="K45" i="1"/>
  <c r="O45" i="1"/>
  <c r="M45" i="1"/>
  <c r="E46" i="1"/>
  <c r="E45" i="1"/>
</calcChain>
</file>

<file path=xl/sharedStrings.xml><?xml version="1.0" encoding="utf-8"?>
<sst xmlns="http://schemas.openxmlformats.org/spreadsheetml/2006/main" count="20" uniqueCount="11">
  <si>
    <t>HMGA1</t>
  </si>
  <si>
    <t>CTRL</t>
  </si>
  <si>
    <t>ET</t>
  </si>
  <si>
    <t>PV</t>
  </si>
  <si>
    <t>MF</t>
  </si>
  <si>
    <t>Normalized Counts</t>
  </si>
  <si>
    <t xml:space="preserve">MPN PLATELET </t>
  </si>
  <si>
    <t>Transcriptome</t>
  </si>
  <si>
    <t>HMGA2</t>
  </si>
  <si>
    <t>33 fold</t>
  </si>
  <si>
    <t>&gt;100%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</si>
</sst>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rgb="FF000000"/>
      <name val="Helvetica Neue"/>
      <family val="2"/>
    </font>
    <font>
      <b/>
      <sz val="11"/>
      <color rgb="FF000000"/>
      <name val="Helvetica"/>
      <family val="2"/>
    </font>
    <font>
      <sz val="11"/>
      <color rgb="FF000000"/>
      <name val="Helvetica Neue"/>
      <family val="2"/>
    </font>
    <font>
      <sz val="11"/>
      <color rgb="FF000000"/>
      <name val="Helvetica"/>
      <family val="2"/>
    </font>
    <font>
      <sz val="12"/>
      <color rgb="FF000000"/>
      <name val="Calibri"/>
      <family val="2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Sheet1!$B$46</c:f>
                <c:numCache>
                  <c:formatCode>General</c:formatCode>
                  <c:ptCount val="1"/>
                  <c:pt idx="0">
                    <c:v>139.71341012282105</c:v>
                  </c:pt>
                </c:numCache>
              </c:numRef>
            </c:plus>
            <c:minus>
              <c:numRef>
                <c:f>Sheet1!$B$46</c:f>
                <c:numCache>
                  <c:formatCode>General</c:formatCode>
                  <c:ptCount val="1"/>
                  <c:pt idx="0">
                    <c:v>139.71341012282105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Sheet1!$B$45</c:f>
              <c:numCache>
                <c:formatCode>General</c:formatCode>
                <c:ptCount val="1"/>
                <c:pt idx="0">
                  <c:v>298.69738095238097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F-4FAD-9FEA-FC40F5A49B2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708.7</c:v>
                </c:pt>
              </c:numLit>
            </c:plus>
            <c:minus>
              <c:numLit>
                <c:formatCode>General</c:formatCode>
                <c:ptCount val="1"/>
                <c:pt idx="0">
                  <c:v>708.7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Sheet1!$C$45</c:f>
              <c:numCache>
                <c:formatCode>General</c:formatCode>
                <c:ptCount val="1"/>
                <c:pt idx="0">
                  <c:v>1094.9041249999998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FF-4FAD-9FEA-FC40F5A49B2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535.79999999999995</c:v>
                </c:pt>
              </c:numLit>
            </c:plus>
            <c:minus>
              <c:numLit>
                <c:formatCode>General</c:formatCode>
                <c:ptCount val="1"/>
                <c:pt idx="0">
                  <c:v>535.79999999999995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Sheet1!$D$45</c:f>
              <c:numCache>
                <c:formatCode>General</c:formatCode>
                <c:ptCount val="1"/>
                <c:pt idx="0">
                  <c:v>1256.936424242424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FF-4FAD-9FEA-FC40F5A49B25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1396</c:v>
                </c:pt>
              </c:numLit>
            </c:plus>
            <c:minus>
              <c:numLit>
                <c:formatCode>General</c:formatCode>
                <c:ptCount val="1"/>
                <c:pt idx="0">
                  <c:v>1396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Sheet1!$E$45</c:f>
              <c:numCache>
                <c:formatCode>General</c:formatCode>
                <c:ptCount val="1"/>
                <c:pt idx="0">
                  <c:v>2596.4869523809525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FF-4FAD-9FEA-FC40F5A49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2175407"/>
        <c:axId val="1662173487"/>
      </c:barChart>
      <c:catAx>
        <c:axId val="16621754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62173487"/>
        <c:crosses val="autoZero"/>
        <c:auto val="1"/>
        <c:lblAlgn val="ctr"/>
        <c:lblOffset val="100"/>
        <c:noMultiLvlLbl val="0"/>
      </c:catAx>
      <c:valAx>
        <c:axId val="166217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7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9.8000000000000007</c:v>
                </c:pt>
              </c:numLit>
            </c:plus>
            <c:minus>
              <c:numLit>
                <c:formatCode>General</c:formatCode>
                <c:ptCount val="1"/>
                <c:pt idx="0">
                  <c:v>9.8000000000000007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Sheet1!$J$45</c:f>
              <c:numCache>
                <c:formatCode>General</c:formatCode>
                <c:ptCount val="1"/>
                <c:pt idx="0">
                  <c:v>9.4359523809523829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D-452D-994D-8C2F914B296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12.3</c:v>
                </c:pt>
              </c:numLit>
            </c:plus>
            <c:minus>
              <c:numLit>
                <c:formatCode>General</c:formatCode>
                <c:ptCount val="1"/>
                <c:pt idx="0">
                  <c:v>12.3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Sheet1!$K$45</c:f>
              <c:numCache>
                <c:formatCode>General</c:formatCode>
                <c:ptCount val="1"/>
                <c:pt idx="0">
                  <c:v>7.9177500000000007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DD-452D-994D-8C2F914B296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8.8000000000000007</c:v>
                </c:pt>
              </c:numLit>
            </c:plus>
            <c:minus>
              <c:numLit>
                <c:formatCode>General</c:formatCode>
                <c:ptCount val="1"/>
                <c:pt idx="0">
                  <c:v>8.8000000000000007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Sheet1!$L$45</c:f>
              <c:numCache>
                <c:formatCode>General</c:formatCode>
                <c:ptCount val="1"/>
                <c:pt idx="0">
                  <c:v>7.4493333333333327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DD-452D-994D-8C2F914B296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13.8</c:v>
                </c:pt>
              </c:numLit>
            </c:plus>
            <c:minus>
              <c:numLit>
                <c:formatCode>General</c:formatCode>
                <c:ptCount val="1"/>
                <c:pt idx="0">
                  <c:v>13.8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Sheet1!$M$45</c:f>
              <c:numCache>
                <c:formatCode>General</c:formatCode>
                <c:ptCount val="1"/>
                <c:pt idx="0">
                  <c:v>14.511047619047618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DD-452D-994D-8C2F914B2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65679"/>
        <c:axId val="52964719"/>
      </c:barChart>
      <c:catAx>
        <c:axId val="5296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64719"/>
        <c:crosses val="autoZero"/>
        <c:auto val="1"/>
        <c:lblAlgn val="ctr"/>
        <c:lblOffset val="100"/>
        <c:noMultiLvlLbl val="0"/>
      </c:catAx>
      <c:valAx>
        <c:axId val="5296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6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50</xdr:row>
      <xdr:rowOff>76199</xdr:rowOff>
    </xdr:from>
    <xdr:to>
      <xdr:col>6</xdr:col>
      <xdr:colOff>200025</xdr:colOff>
      <xdr:row>63</xdr:row>
      <xdr:rowOff>48840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C96733-C50D-0494-E57E-3E28A64CA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600074</xdr:colOff>
      <xdr:row>50</xdr:row>
      <xdr:rowOff>95249</xdr:rowOff>
    </xdr:from>
    <xdr:to>
      <xdr:col>15</xdr:col>
      <xdr:colOff>138111</xdr:colOff>
      <xdr:row>62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91FA71-0807-DAB6-EB3D-D4BE01BF8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63951-F4BA-48E0-893D-D030A1C70A11}">
  <dimension ref="A1:O49"/>
  <sheetViews>
    <sheetView tabSelected="1" topLeftCell="A24" workbookViewId="0">
      <selection activeCell="Y46" sqref="Y46"/>
    </sheetView>
  </sheetViews>
  <sheetFormatPr defaultRowHeight="15"/>
  <cols>
    <col min="7" max="7" width="12" bestFit="1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I1" s="2" t="s">
        <v>8</v>
      </c>
      <c r="J1" s="2" t="s">
        <v>1</v>
      </c>
      <c r="K1" s="2" t="s">
        <v>2</v>
      </c>
      <c r="L1" s="2" t="s">
        <v>3</v>
      </c>
      <c r="M1" s="2" t="s">
        <v>4</v>
      </c>
    </row>
    <row r="2" spans="1:13">
      <c r="A2" s="3" t="s">
        <v>5</v>
      </c>
      <c r="B2" s="4">
        <v>232.74100000000001</v>
      </c>
      <c r="C2" s="4">
        <v>855.82399999999996</v>
      </c>
      <c r="D2" s="4">
        <v>776.61500000000001</v>
      </c>
      <c r="E2" s="4">
        <v>4030.6129999999998</v>
      </c>
      <c r="I2" s="4" t="s">
        <v>5</v>
      </c>
      <c r="J2" s="4">
        <v>0.92</v>
      </c>
      <c r="K2" s="4">
        <v>1.976</v>
      </c>
      <c r="L2" s="4">
        <v>5.5410000000000004</v>
      </c>
      <c r="M2" s="4">
        <v>45.87</v>
      </c>
    </row>
    <row r="3" spans="1:13">
      <c r="A3" s="3" t="s">
        <v>6</v>
      </c>
      <c r="B3" s="4">
        <v>190.44499999999999</v>
      </c>
      <c r="C3" s="4">
        <v>545.16</v>
      </c>
      <c r="D3" s="4">
        <v>969.80499999999995</v>
      </c>
      <c r="E3" s="4">
        <v>1873.329</v>
      </c>
      <c r="I3" s="4" t="s">
        <v>6</v>
      </c>
      <c r="J3" s="4">
        <v>14.349</v>
      </c>
      <c r="K3" s="4">
        <v>5.7690000000000001</v>
      </c>
      <c r="L3" s="4">
        <v>0</v>
      </c>
      <c r="M3" s="4">
        <v>9.0399999999999991</v>
      </c>
    </row>
    <row r="4" spans="1:13">
      <c r="A4" s="3" t="s">
        <v>7</v>
      </c>
      <c r="B4" s="4">
        <v>312.42599999999999</v>
      </c>
      <c r="C4" s="4">
        <v>621.005</v>
      </c>
      <c r="D4" s="4">
        <v>1403.547</v>
      </c>
      <c r="E4" s="4">
        <v>3912.491</v>
      </c>
      <c r="I4" s="4" t="s">
        <v>7</v>
      </c>
      <c r="J4" s="4">
        <v>25.47</v>
      </c>
      <c r="K4" s="4">
        <v>5.274</v>
      </c>
      <c r="L4" s="4">
        <v>3.6219999999999999</v>
      </c>
      <c r="M4" s="4">
        <v>8.7110000000000003</v>
      </c>
    </row>
    <row r="5" spans="1:13">
      <c r="A5" s="3"/>
      <c r="B5" s="4">
        <v>292.23200000000003</v>
      </c>
      <c r="C5" s="4">
        <v>1322.9390000000001</v>
      </c>
      <c r="D5" s="4">
        <v>1438.2370000000001</v>
      </c>
      <c r="E5" s="4">
        <v>3536.625</v>
      </c>
      <c r="I5" s="4"/>
      <c r="J5" s="4">
        <v>16.178999999999998</v>
      </c>
      <c r="K5" s="4">
        <v>0.97</v>
      </c>
      <c r="L5" s="4">
        <v>5.9020000000000001</v>
      </c>
      <c r="M5" s="4">
        <v>22.343</v>
      </c>
    </row>
    <row r="6" spans="1:13">
      <c r="A6" s="3"/>
      <c r="B6" s="4">
        <v>314.89699999999999</v>
      </c>
      <c r="C6" s="4">
        <v>1970.413</v>
      </c>
      <c r="D6" s="4">
        <v>1301.739</v>
      </c>
      <c r="E6" s="4">
        <v>5348.4440000000004</v>
      </c>
      <c r="I6" s="4"/>
      <c r="J6" s="4">
        <v>25.297999999999998</v>
      </c>
      <c r="K6" s="4">
        <v>8.0939999999999994</v>
      </c>
      <c r="L6" s="4">
        <v>44.978999999999999</v>
      </c>
      <c r="M6" s="4">
        <v>28.748000000000001</v>
      </c>
    </row>
    <row r="7" spans="1:13">
      <c r="A7" s="3"/>
      <c r="B7" s="4">
        <v>268.77999999999997</v>
      </c>
      <c r="C7" s="4">
        <v>1123.9680000000001</v>
      </c>
      <c r="D7" s="4">
        <v>1882.8109999999999</v>
      </c>
      <c r="E7" s="4">
        <v>1355.078</v>
      </c>
      <c r="I7" s="4"/>
      <c r="J7" s="4">
        <v>5.2089999999999996</v>
      </c>
      <c r="K7" s="4">
        <v>4.3609999999999998</v>
      </c>
      <c r="L7" s="4">
        <v>10.964</v>
      </c>
      <c r="M7" s="4">
        <v>0</v>
      </c>
    </row>
    <row r="8" spans="1:13">
      <c r="A8" s="3"/>
      <c r="B8" s="4">
        <v>198.685</v>
      </c>
      <c r="C8" s="4">
        <v>546.20899999999995</v>
      </c>
      <c r="D8" s="4">
        <v>791.10900000000004</v>
      </c>
      <c r="E8" s="4">
        <v>1588.684</v>
      </c>
      <c r="I8" s="4"/>
      <c r="J8" s="4">
        <v>6.4089999999999998</v>
      </c>
      <c r="K8" s="4">
        <v>7.0030000000000001</v>
      </c>
      <c r="L8" s="4">
        <v>10.567</v>
      </c>
      <c r="M8" s="4">
        <v>1.6719999999999999</v>
      </c>
    </row>
    <row r="9" spans="1:13">
      <c r="A9" s="3"/>
      <c r="B9" s="4">
        <v>270.06700000000001</v>
      </c>
      <c r="C9" s="4">
        <v>371.71600000000001</v>
      </c>
      <c r="D9" s="4">
        <v>580.875</v>
      </c>
      <c r="E9" s="4">
        <v>2760.9079999999999</v>
      </c>
      <c r="I9" s="4"/>
      <c r="J9" s="4">
        <v>7.9640000000000004</v>
      </c>
      <c r="K9" s="4">
        <v>23.177</v>
      </c>
      <c r="L9" s="4">
        <v>3.1230000000000002</v>
      </c>
      <c r="M9" s="4">
        <v>9.0180000000000007</v>
      </c>
    </row>
    <row r="10" spans="1:13">
      <c r="A10" s="3"/>
      <c r="B10" s="4">
        <v>275.77699999999999</v>
      </c>
      <c r="C10" s="4">
        <v>774.14700000000005</v>
      </c>
      <c r="D10" s="4">
        <v>2013.8530000000001</v>
      </c>
      <c r="E10" s="4">
        <v>437.40300000000002</v>
      </c>
      <c r="I10" s="4"/>
      <c r="J10" s="4">
        <v>7.556</v>
      </c>
      <c r="K10" s="4">
        <v>2.8149999999999999</v>
      </c>
      <c r="L10" s="4">
        <v>8.17</v>
      </c>
      <c r="M10" s="4">
        <v>2.3519999999999999</v>
      </c>
    </row>
    <row r="11" spans="1:13">
      <c r="A11" s="3"/>
      <c r="B11" s="4">
        <v>329.31799999999998</v>
      </c>
      <c r="C11" s="4">
        <v>944.80700000000002</v>
      </c>
      <c r="D11" s="4">
        <v>1501.825</v>
      </c>
      <c r="E11" s="4">
        <v>2349.1149999999998</v>
      </c>
      <c r="I11" s="4"/>
      <c r="J11" s="4">
        <v>8.61</v>
      </c>
      <c r="K11" s="4">
        <v>5.5090000000000003</v>
      </c>
      <c r="L11" s="4">
        <v>0.94799999999999995</v>
      </c>
      <c r="M11" s="4">
        <v>29.175000000000001</v>
      </c>
    </row>
    <row r="12" spans="1:13">
      <c r="A12" s="3"/>
      <c r="B12" s="4">
        <v>185.34899999999999</v>
      </c>
      <c r="C12" s="4">
        <v>394.02800000000002</v>
      </c>
      <c r="D12" s="4">
        <v>1283.4449999999999</v>
      </c>
      <c r="E12" s="4">
        <v>4323.3689999999997</v>
      </c>
      <c r="I12" s="4"/>
      <c r="J12" s="4">
        <v>7.2690000000000001</v>
      </c>
      <c r="K12" s="4">
        <v>13.222</v>
      </c>
      <c r="L12" s="4">
        <v>1.9490000000000001</v>
      </c>
      <c r="M12" s="4">
        <v>51.331000000000003</v>
      </c>
    </row>
    <row r="13" spans="1:13">
      <c r="A13" s="3"/>
      <c r="B13" s="4">
        <v>379.50099999999998</v>
      </c>
      <c r="C13" s="4">
        <v>719.702</v>
      </c>
      <c r="D13" s="4">
        <v>1019.832</v>
      </c>
      <c r="E13" s="4">
        <v>3146.1669999999999</v>
      </c>
      <c r="I13" s="4"/>
      <c r="J13" s="4">
        <v>6.7080000000000002</v>
      </c>
      <c r="K13" s="4">
        <v>60.722000000000001</v>
      </c>
      <c r="L13" s="4">
        <v>0</v>
      </c>
      <c r="M13" s="4">
        <v>23.827999999999999</v>
      </c>
    </row>
    <row r="14" spans="1:13">
      <c r="A14" s="3"/>
      <c r="B14" s="4">
        <v>274.52</v>
      </c>
      <c r="C14" s="4">
        <v>541.10500000000002</v>
      </c>
      <c r="D14" s="4">
        <v>582.33100000000002</v>
      </c>
      <c r="E14" s="4">
        <v>2784.7689999999998</v>
      </c>
      <c r="I14" s="4"/>
      <c r="J14" s="4">
        <v>0</v>
      </c>
      <c r="K14" s="4">
        <v>5.4749999999999996</v>
      </c>
      <c r="L14" s="4">
        <v>14.903</v>
      </c>
      <c r="M14" s="4">
        <v>24.917999999999999</v>
      </c>
    </row>
    <row r="15" spans="1:13">
      <c r="A15" s="3"/>
      <c r="B15" s="4">
        <v>249.483</v>
      </c>
      <c r="C15" s="4">
        <v>890.17899999999997</v>
      </c>
      <c r="D15" s="4">
        <v>1150.0419999999999</v>
      </c>
      <c r="E15" s="4">
        <v>1964.67</v>
      </c>
      <c r="I15" s="4"/>
      <c r="J15" s="4">
        <v>4.7300000000000004</v>
      </c>
      <c r="K15" s="4">
        <v>2.9510000000000001</v>
      </c>
      <c r="L15" s="4">
        <v>4.0270000000000001</v>
      </c>
      <c r="M15" s="4">
        <v>2.4249999999999998</v>
      </c>
    </row>
    <row r="16" spans="1:13">
      <c r="A16" s="3"/>
      <c r="B16" s="4">
        <v>106.751</v>
      </c>
      <c r="C16" s="4">
        <v>460.279</v>
      </c>
      <c r="D16" s="4">
        <v>627.28300000000002</v>
      </c>
      <c r="E16" s="4">
        <v>3070.1509999999998</v>
      </c>
      <c r="I16" s="4"/>
      <c r="J16" s="4">
        <v>9.7050000000000001</v>
      </c>
      <c r="K16" s="4">
        <v>4.6970000000000001</v>
      </c>
      <c r="L16" s="4">
        <v>9.3480000000000008</v>
      </c>
      <c r="M16" s="4">
        <v>11.112</v>
      </c>
    </row>
    <row r="17" spans="1:13">
      <c r="A17" s="3"/>
      <c r="B17" s="4">
        <v>244.96299999999999</v>
      </c>
      <c r="C17" s="4">
        <v>300.798</v>
      </c>
      <c r="D17" s="4">
        <v>1509.172</v>
      </c>
      <c r="E17" s="4">
        <v>2581.5430000000001</v>
      </c>
      <c r="I17" s="4"/>
      <c r="J17" s="4">
        <v>7.9020000000000001</v>
      </c>
      <c r="K17" s="4">
        <v>7.5469999999999997</v>
      </c>
      <c r="L17" s="4">
        <v>10.375999999999999</v>
      </c>
      <c r="M17" s="4">
        <v>2.9140000000000001</v>
      </c>
    </row>
    <row r="18" spans="1:13">
      <c r="A18" s="3"/>
      <c r="B18" s="4">
        <v>415.33300000000003</v>
      </c>
      <c r="C18" s="4">
        <v>566.298</v>
      </c>
      <c r="D18" s="4">
        <v>2048.5920000000001</v>
      </c>
      <c r="E18" s="4">
        <v>2785.1779999999999</v>
      </c>
      <c r="I18" s="4"/>
      <c r="J18" s="4">
        <v>8.9</v>
      </c>
      <c r="K18" s="4">
        <v>0</v>
      </c>
      <c r="L18" s="4">
        <v>0.91700000000000004</v>
      </c>
      <c r="M18" s="4">
        <v>31.553999999999998</v>
      </c>
    </row>
    <row r="19" spans="1:13">
      <c r="A19" s="3"/>
      <c r="B19" s="4">
        <v>122.815</v>
      </c>
      <c r="C19" s="4">
        <v>1016.596</v>
      </c>
      <c r="D19" s="4">
        <v>2286.4250000000002</v>
      </c>
      <c r="E19" s="4">
        <v>378.351</v>
      </c>
      <c r="I19" s="4"/>
      <c r="J19" s="4">
        <v>12.282</v>
      </c>
      <c r="K19" s="4">
        <v>1.1919999999999999</v>
      </c>
      <c r="L19" s="4">
        <v>3.3820000000000001</v>
      </c>
      <c r="M19" s="4">
        <v>17.004999999999999</v>
      </c>
    </row>
    <row r="20" spans="1:13">
      <c r="A20" s="3"/>
      <c r="B20" s="4">
        <v>337.97300000000001</v>
      </c>
      <c r="C20" s="4">
        <v>2652.5650000000001</v>
      </c>
      <c r="D20" s="4">
        <v>1813.087</v>
      </c>
      <c r="E20" s="4">
        <v>1202.5160000000001</v>
      </c>
      <c r="I20" s="4"/>
      <c r="J20" s="4">
        <v>3.6150000000000002</v>
      </c>
      <c r="K20" s="4">
        <v>1.5780000000000001</v>
      </c>
      <c r="L20" s="4">
        <v>1.663</v>
      </c>
      <c r="M20" s="4">
        <v>1.3169999999999999</v>
      </c>
    </row>
    <row r="21" spans="1:13">
      <c r="A21" s="3"/>
      <c r="B21" s="4">
        <v>749.01400000000001</v>
      </c>
      <c r="C21" s="4">
        <v>2176.25</v>
      </c>
      <c r="D21" s="4">
        <v>336.11799999999999</v>
      </c>
      <c r="E21" s="4">
        <v>2293.1750000000002</v>
      </c>
      <c r="I21" s="4"/>
      <c r="J21" s="4">
        <v>11.484</v>
      </c>
      <c r="K21" s="4">
        <v>3.2919999999999998</v>
      </c>
      <c r="L21" s="4">
        <v>4.6680000000000001</v>
      </c>
      <c r="M21" s="4">
        <v>9.4450000000000003</v>
      </c>
    </row>
    <row r="22" spans="1:13">
      <c r="A22" s="3"/>
      <c r="B22" s="4">
        <v>521.57500000000005</v>
      </c>
      <c r="C22" s="4">
        <v>2166.2080000000001</v>
      </c>
      <c r="D22" s="4">
        <v>1343.046</v>
      </c>
      <c r="E22" s="4">
        <v>1924.34</v>
      </c>
      <c r="I22" s="4"/>
      <c r="J22" s="4">
        <v>7.5960000000000001</v>
      </c>
      <c r="K22" s="4">
        <v>2.5350000000000001</v>
      </c>
      <c r="L22" s="4">
        <v>9.9730000000000008</v>
      </c>
      <c r="M22" s="4">
        <v>14.039</v>
      </c>
    </row>
    <row r="23" spans="1:13">
      <c r="A23" s="3"/>
      <c r="B23" s="4"/>
      <c r="C23" s="4">
        <v>1939.816</v>
      </c>
      <c r="D23" s="4">
        <v>1238.624</v>
      </c>
      <c r="E23" s="4">
        <v>1453.921</v>
      </c>
      <c r="I23" s="4"/>
      <c r="J23" s="4"/>
      <c r="K23" s="4">
        <v>3.2050000000000001</v>
      </c>
      <c r="L23" s="4">
        <v>2.0169999999999999</v>
      </c>
      <c r="M23" s="4">
        <v>10.013999999999999</v>
      </c>
    </row>
    <row r="24" spans="1:13">
      <c r="A24" s="3"/>
      <c r="B24" s="4"/>
      <c r="C24" s="4">
        <v>2296.3510000000001</v>
      </c>
      <c r="D24" s="4">
        <v>964.99699999999996</v>
      </c>
      <c r="E24" s="4">
        <v>1973.8989999999999</v>
      </c>
      <c r="I24" s="4"/>
      <c r="J24" s="4"/>
      <c r="K24" s="4">
        <v>8.9009999999999998</v>
      </c>
      <c r="L24" s="4">
        <v>9.7469999999999999</v>
      </c>
      <c r="M24" s="4">
        <v>1.2849999999999999</v>
      </c>
    </row>
    <row r="25" spans="1:13">
      <c r="A25" s="3"/>
      <c r="B25" s="4"/>
      <c r="C25" s="4">
        <v>1081.336</v>
      </c>
      <c r="D25" s="4">
        <v>1742.492</v>
      </c>
      <c r="E25" s="4">
        <v>5333.2820000000002</v>
      </c>
      <c r="I25" s="4"/>
      <c r="J25" s="4"/>
      <c r="K25" s="4">
        <v>9.7609999999999992</v>
      </c>
      <c r="L25" s="4">
        <v>0</v>
      </c>
      <c r="M25" s="4">
        <v>11.933</v>
      </c>
    </row>
    <row r="26" spans="1:13">
      <c r="A26" s="3"/>
      <c r="B26" s="4"/>
      <c r="C26" s="4"/>
      <c r="D26" s="4">
        <v>832.46400000000006</v>
      </c>
      <c r="E26" s="4">
        <v>2417.2310000000002</v>
      </c>
      <c r="I26" s="4"/>
      <c r="J26" s="4"/>
      <c r="K26" s="4"/>
      <c r="L26" s="4">
        <v>2.3919999999999999</v>
      </c>
      <c r="M26" s="4">
        <v>2.6739999999999999</v>
      </c>
    </row>
    <row r="27" spans="1:13">
      <c r="A27" s="3"/>
      <c r="B27" s="4"/>
      <c r="C27" s="4"/>
      <c r="D27" s="4">
        <v>1783.576</v>
      </c>
      <c r="E27" s="4">
        <v>1972.172</v>
      </c>
      <c r="I27" s="4"/>
      <c r="J27" s="4"/>
      <c r="K27" s="4"/>
      <c r="L27" s="4">
        <v>12.831</v>
      </c>
      <c r="M27" s="4">
        <v>2.7669999999999999</v>
      </c>
    </row>
    <row r="28" spans="1:13">
      <c r="A28" s="3"/>
      <c r="B28" s="4"/>
      <c r="C28" s="4"/>
      <c r="D28" s="4">
        <v>828.34199999999998</v>
      </c>
      <c r="E28" s="4">
        <v>383.827</v>
      </c>
      <c r="I28" s="4"/>
      <c r="J28" s="4"/>
      <c r="K28" s="4"/>
      <c r="L28" s="4">
        <v>6.8739999999999997</v>
      </c>
      <c r="M28" s="4">
        <v>33.151000000000003</v>
      </c>
    </row>
    <row r="29" spans="1:13">
      <c r="A29" s="3"/>
      <c r="B29" s="4"/>
      <c r="C29" s="4"/>
      <c r="D29" s="4">
        <v>1523.3869999999999</v>
      </c>
      <c r="E29" s="4">
        <v>2789.971</v>
      </c>
      <c r="I29" s="4"/>
      <c r="J29" s="4"/>
      <c r="K29" s="4"/>
      <c r="L29" s="4">
        <v>5.7850000000000001</v>
      </c>
      <c r="M29" s="4">
        <v>17.016999999999999</v>
      </c>
    </row>
    <row r="30" spans="1:13">
      <c r="A30" s="3"/>
      <c r="B30" s="4"/>
      <c r="C30" s="4"/>
      <c r="D30" s="4">
        <v>597.64800000000002</v>
      </c>
      <c r="E30" s="4">
        <v>5677.6660000000002</v>
      </c>
      <c r="I30" s="4"/>
      <c r="J30" s="4"/>
      <c r="K30" s="4"/>
      <c r="L30" s="4">
        <v>26.699000000000002</v>
      </c>
      <c r="M30" s="4">
        <v>30.026</v>
      </c>
    </row>
    <row r="31" spans="1:13">
      <c r="A31" s="3"/>
      <c r="B31" s="4"/>
      <c r="C31" s="4"/>
      <c r="D31" s="4">
        <v>1131.711</v>
      </c>
      <c r="E31" s="4">
        <v>705.54600000000005</v>
      </c>
      <c r="I31" s="4"/>
      <c r="J31" s="4"/>
      <c r="K31" s="4"/>
      <c r="L31" s="4">
        <v>0.61099999999999999</v>
      </c>
      <c r="M31" s="4">
        <v>3.3839999999999999</v>
      </c>
    </row>
    <row r="32" spans="1:13">
      <c r="A32" s="3"/>
      <c r="B32" s="4"/>
      <c r="C32" s="4"/>
      <c r="D32" s="4">
        <v>667.81</v>
      </c>
      <c r="E32" s="4">
        <v>2561.1509999999998</v>
      </c>
      <c r="I32" s="4"/>
      <c r="J32" s="4"/>
      <c r="K32" s="4"/>
      <c r="L32" s="4">
        <v>13.722</v>
      </c>
      <c r="M32" s="4">
        <v>2.9670000000000001</v>
      </c>
    </row>
    <row r="33" spans="1:15">
      <c r="A33" s="3"/>
      <c r="B33" s="4"/>
      <c r="C33" s="4"/>
      <c r="D33" s="4">
        <v>2446.5729999999999</v>
      </c>
      <c r="E33" s="4">
        <v>2762.9450000000002</v>
      </c>
      <c r="I33" s="4"/>
      <c r="J33" s="4"/>
      <c r="K33" s="4"/>
      <c r="L33" s="4">
        <v>2.9750000000000001</v>
      </c>
      <c r="M33" s="4">
        <v>7.63</v>
      </c>
    </row>
    <row r="34" spans="1:15">
      <c r="A34" s="3"/>
      <c r="B34" s="4"/>
      <c r="C34" s="4"/>
      <c r="D34" s="4">
        <v>1061.489</v>
      </c>
      <c r="E34" s="4">
        <v>3698.0439999999999</v>
      </c>
      <c r="I34" s="4"/>
      <c r="J34" s="4"/>
      <c r="K34" s="4"/>
      <c r="L34" s="4">
        <v>7.1529999999999996</v>
      </c>
      <c r="M34" s="4">
        <v>2.4510000000000001</v>
      </c>
    </row>
    <row r="35" spans="1:15">
      <c r="A35" s="3"/>
      <c r="B35" s="4"/>
      <c r="C35" s="4"/>
      <c r="D35" s="4"/>
      <c r="E35" s="4">
        <v>1792.662</v>
      </c>
      <c r="I35" s="4"/>
      <c r="J35" s="4"/>
      <c r="K35" s="4"/>
      <c r="L35" s="4"/>
      <c r="M35" s="4">
        <v>3.8839999999999999</v>
      </c>
    </row>
    <row r="36" spans="1:15">
      <c r="A36" s="3"/>
      <c r="B36" s="4"/>
      <c r="C36" s="4"/>
      <c r="D36" s="4"/>
      <c r="E36" s="4">
        <v>3003.0070000000001</v>
      </c>
      <c r="I36" s="4"/>
      <c r="J36" s="4"/>
      <c r="K36" s="4"/>
      <c r="L36" s="4"/>
      <c r="M36" s="4">
        <v>7.5890000000000004</v>
      </c>
    </row>
    <row r="37" spans="1:15">
      <c r="A37" s="3"/>
      <c r="B37" s="4"/>
      <c r="C37" s="4"/>
      <c r="D37" s="4"/>
      <c r="E37" s="4">
        <v>1156.482</v>
      </c>
      <c r="I37" s="4"/>
      <c r="J37" s="4"/>
      <c r="K37" s="4"/>
      <c r="L37" s="4"/>
      <c r="M37" s="4">
        <v>6.78</v>
      </c>
    </row>
    <row r="38" spans="1:15">
      <c r="A38" s="3"/>
      <c r="B38" s="4"/>
      <c r="C38" s="4"/>
      <c r="D38" s="4"/>
      <c r="E38" s="4">
        <v>3310.8519999999999</v>
      </c>
      <c r="I38" s="4"/>
      <c r="J38" s="4"/>
      <c r="K38" s="4"/>
      <c r="L38" s="4"/>
      <c r="M38" s="4">
        <v>30.491</v>
      </c>
    </row>
    <row r="39" spans="1:15">
      <c r="A39" s="3"/>
      <c r="B39" s="4"/>
      <c r="C39" s="4"/>
      <c r="D39" s="4"/>
      <c r="E39" s="4">
        <v>1172.971</v>
      </c>
      <c r="I39" s="4"/>
      <c r="J39" s="4"/>
      <c r="K39" s="4"/>
      <c r="L39" s="4"/>
      <c r="M39" s="4">
        <v>4.5289999999999999</v>
      </c>
    </row>
    <row r="40" spans="1:15">
      <c r="A40" s="3"/>
      <c r="B40" s="4"/>
      <c r="C40" s="4"/>
      <c r="D40" s="4"/>
      <c r="E40" s="4">
        <v>1878.73</v>
      </c>
      <c r="I40" s="4"/>
      <c r="J40" s="4"/>
      <c r="K40" s="4"/>
      <c r="L40" s="4"/>
      <c r="M40" s="4">
        <v>30.547999999999998</v>
      </c>
    </row>
    <row r="41" spans="1:15">
      <c r="A41" s="3"/>
      <c r="B41" s="4"/>
      <c r="C41" s="4"/>
      <c r="D41" s="4"/>
      <c r="E41" s="4">
        <v>6152.1959999999999</v>
      </c>
      <c r="I41" s="4"/>
      <c r="J41" s="4"/>
      <c r="K41" s="4"/>
      <c r="L41" s="4"/>
      <c r="M41" s="4">
        <v>42.677999999999997</v>
      </c>
    </row>
    <row r="42" spans="1:15">
      <c r="A42" s="3"/>
      <c r="B42" s="4"/>
      <c r="C42" s="4"/>
      <c r="D42" s="4"/>
      <c r="E42" s="4">
        <v>3316.59</v>
      </c>
      <c r="I42" s="4"/>
      <c r="J42" s="4"/>
      <c r="K42" s="4"/>
      <c r="L42" s="4"/>
      <c r="M42" s="4">
        <v>1.891</v>
      </c>
    </row>
    <row r="43" spans="1:15">
      <c r="A43" s="3"/>
      <c r="B43" s="4"/>
      <c r="C43" s="4"/>
      <c r="D43" s="4"/>
      <c r="E43" s="4">
        <v>1892.3879999999999</v>
      </c>
      <c r="I43" s="4"/>
      <c r="J43" s="4"/>
      <c r="K43" s="4"/>
      <c r="L43" s="4"/>
      <c r="M43" s="4">
        <v>8.9580000000000002</v>
      </c>
    </row>
    <row r="44" spans="1:15" ht="15.75">
      <c r="A44" s="5"/>
      <c r="B44" s="6"/>
      <c r="C44" s="6"/>
      <c r="D44" s="6"/>
      <c r="E44" s="6"/>
    </row>
    <row r="45" spans="1:15">
      <c r="B45">
        <f>AVERAGE(B2:B22)</f>
        <v>298.69738095238097</v>
      </c>
      <c r="C45">
        <f>AVERAGE(C2:C25)</f>
        <v>1094.9041249999998</v>
      </c>
      <c r="D45">
        <f>AVERAGE(D2:D34)</f>
        <v>1256.936424242424</v>
      </c>
      <c r="E45">
        <f>AVERAGE(E2:E44)</f>
        <v>2596.4869523809525</v>
      </c>
      <c r="G45">
        <f>_xlfn.T.TEST(B2:B22,C2:C25,2,3)</f>
        <v>1.3743915242618429E-5</v>
      </c>
      <c r="J45">
        <f>AVERAGE(J2:J44)</f>
        <v>9.4359523809523829</v>
      </c>
      <c r="K45">
        <f>AVERAGE(K2:K44)</f>
        <v>7.9177500000000007</v>
      </c>
      <c r="L45">
        <f>AVERAGE(L2:L44)</f>
        <v>7.4493333333333327</v>
      </c>
      <c r="M45">
        <f>AVERAGE(M2:M44)</f>
        <v>14.511047619047618</v>
      </c>
      <c r="O45">
        <f>_xlfn.T.TEST(J2:J22,K2:K25,2,3)</f>
        <v>0.60161426838212573</v>
      </c>
    </row>
    <row r="46" spans="1:15">
      <c r="B46">
        <f>STDEV(B2:B22)</f>
        <v>139.71341012282105</v>
      </c>
      <c r="C46">
        <f>STDEV(C2:C25)</f>
        <v>708.73934151214644</v>
      </c>
      <c r="D46">
        <f>STDEV(D2:D34)</f>
        <v>535.82000860836172</v>
      </c>
      <c r="E46">
        <f>STDEV(E2:E43)</f>
        <v>1396.0375872840423</v>
      </c>
      <c r="G46">
        <f>_xlfn.T.TEST(C2:C25,D2:D34,2,3)</f>
        <v>0.35205350238244004</v>
      </c>
      <c r="J46">
        <f>STDEV(J2:J22)</f>
        <v>6.5568005572549639</v>
      </c>
      <c r="K46">
        <f>STDEV(K2:K25)</f>
        <v>12.258130129942687</v>
      </c>
      <c r="L46">
        <f>STDEV(L2:L34)</f>
        <v>8.7765754129481905</v>
      </c>
      <c r="M46">
        <f>STDEV(M2:M43)</f>
        <v>13.757006475553061</v>
      </c>
      <c r="O46">
        <f>_xlfn.T.TEST(K2:K25,L2:L34,2,3)</f>
        <v>0.87387495912109014</v>
      </c>
    </row>
    <row r="47" spans="1:15">
      <c r="B47" s="7">
        <v>0.46700000000000003</v>
      </c>
      <c r="C47" s="8">
        <v>0.64700000000000002</v>
      </c>
      <c r="D47" s="8">
        <v>0.42599999999999999</v>
      </c>
      <c r="E47" s="8">
        <v>0.53800000000000003</v>
      </c>
      <c r="G47">
        <f>_xlfn.T.TEST(D2:D34,E2:E43,2,3)</f>
        <v>4.6935293038100658E-7</v>
      </c>
      <c r="J47" t="s">
        <v>10</v>
      </c>
      <c r="K47" t="s">
        <v>10</v>
      </c>
      <c r="L47" t="s">
        <v>10</v>
      </c>
      <c r="M47" s="7">
        <v>0.95</v>
      </c>
      <c r="O47">
        <f>_xlfn.T.TEST(L2:L34,M2:M43,2,3)</f>
        <v>8.6783313813689859E-3</v>
      </c>
    </row>
    <row r="48" spans="1:15">
      <c r="B48" t="s">
        <v>9</v>
      </c>
      <c r="C48">
        <v>137</v>
      </c>
      <c r="D48">
        <v>170</v>
      </c>
      <c r="E48">
        <v>185</v>
      </c>
      <c r="O48">
        <f>_xlfn.T.TEST(J2:J22,M2:M43,2,3)</f>
        <v>5.1936660325686619E-2</v>
      </c>
    </row>
    <row r="49" spans="2:13">
      <c r="B49">
        <f>B46/B45*100</f>
        <v>46.774233398817273</v>
      </c>
      <c r="C49">
        <f t="shared" ref="C49:E49" si="0">C46/C45*100</f>
        <v>64.730721652194575</v>
      </c>
      <c r="D49">
        <f t="shared" si="0"/>
        <v>42.629046169245129</v>
      </c>
      <c r="E49">
        <f t="shared" si="0"/>
        <v>53.766401021345004</v>
      </c>
      <c r="J49">
        <f>J46/J45*100</f>
        <v>69.487427368652931</v>
      </c>
      <c r="K49">
        <f t="shared" ref="K49:M49" si="1">K46/K45*100</f>
        <v>154.81835281415411</v>
      </c>
      <c r="L49">
        <f t="shared" si="1"/>
        <v>117.81692428335677</v>
      </c>
      <c r="M49">
        <f t="shared" si="1"/>
        <v>94.803675356252143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Johns Hopkins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Resar</dc:creator>
  <cp:lastModifiedBy>Li Luo</cp:lastModifiedBy>
  <dcterms:created xsi:type="dcterms:W3CDTF">2025-11-24T21:44:28Z</dcterms:created>
  <dcterms:modified xsi:type="dcterms:W3CDTF">2026-04-29T16:40:07Z</dcterms:modified>
</cp:coreProperties>
</file>