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ematology\Lab Research Folder\Li Luo\scRNAseq data and figures\MFpatientsScRNAseq_GSE144568\"/>
    </mc:Choice>
  </mc:AlternateContent>
  <xr:revisionPtr revIDLastSave="0" documentId="13_ncr:1_{29EFB1C8-439C-4D97-9F8D-0C93E162E6D5}" xr6:coauthVersionLast="47" xr6:coauthVersionMax="47" xr10:uidLastSave="{00000000-0000-0000-0000-000000000000}"/>
  <bookViews>
    <workbookView xWindow="-120" yWindow="-120" windowWidth="29040" windowHeight="15720" xr2:uid="{6874FA19-DF82-4BDC-BB09-A641949F6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F3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S44" i="1"/>
  <c r="S43" i="1"/>
  <c r="S42" i="1"/>
  <c r="S41" i="1"/>
  <c r="S40" i="1"/>
  <c r="S39" i="1"/>
  <c r="S38" i="1"/>
  <c r="S37" i="1"/>
  <c r="S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Q26" i="1"/>
  <c r="S25" i="1"/>
  <c r="R25" i="1"/>
  <c r="Q25" i="1"/>
  <c r="S24" i="1"/>
  <c r="R24" i="1"/>
  <c r="Q24" i="1"/>
  <c r="S23" i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S18" i="1"/>
  <c r="R18" i="1"/>
  <c r="Q18" i="1"/>
  <c r="S17" i="1"/>
  <c r="R17" i="1"/>
  <c r="Q17" i="1"/>
  <c r="S16" i="1"/>
  <c r="R16" i="1"/>
  <c r="Q16" i="1"/>
  <c r="S15" i="1"/>
  <c r="R15" i="1"/>
  <c r="Q15" i="1"/>
  <c r="S14" i="1"/>
  <c r="R14" i="1"/>
  <c r="Q14" i="1"/>
  <c r="S13" i="1"/>
  <c r="R13" i="1"/>
  <c r="Q13" i="1"/>
  <c r="S12" i="1"/>
  <c r="R12" i="1"/>
  <c r="Q12" i="1"/>
  <c r="S11" i="1"/>
  <c r="R11" i="1"/>
  <c r="Q11" i="1"/>
  <c r="S10" i="1"/>
  <c r="R10" i="1"/>
  <c r="Q10" i="1"/>
  <c r="S9" i="1"/>
  <c r="R9" i="1"/>
  <c r="Q9" i="1"/>
  <c r="S8" i="1"/>
  <c r="R8" i="1"/>
  <c r="Q8" i="1"/>
  <c r="S7" i="1"/>
  <c r="R7" i="1"/>
  <c r="Q7" i="1"/>
  <c r="S6" i="1"/>
  <c r="R6" i="1"/>
  <c r="Q6" i="1"/>
  <c r="S5" i="1"/>
  <c r="R5" i="1"/>
  <c r="Q5" i="1"/>
  <c r="S4" i="1"/>
  <c r="R4" i="1"/>
  <c r="Q4" i="1"/>
  <c r="S3" i="1"/>
  <c r="S47" i="1" s="1"/>
  <c r="R3" i="1"/>
  <c r="R47" i="1" s="1"/>
  <c r="Q3" i="1"/>
  <c r="Q47" i="1" s="1"/>
  <c r="P47" i="1"/>
  <c r="I3" i="1"/>
  <c r="I47" i="1" s="1"/>
  <c r="H3" i="1"/>
  <c r="H47" i="1" s="1"/>
  <c r="G3" i="1"/>
  <c r="G47" i="1" s="1"/>
  <c r="I44" i="1"/>
  <c r="I43" i="1"/>
  <c r="I42" i="1"/>
  <c r="I41" i="1"/>
  <c r="I40" i="1"/>
  <c r="I39" i="1"/>
  <c r="I38" i="1"/>
  <c r="I37" i="1"/>
  <c r="I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G26" i="1"/>
  <c r="I25" i="1"/>
  <c r="H25" i="1"/>
  <c r="G25" i="1"/>
  <c r="I24" i="1"/>
  <c r="H24" i="1"/>
  <c r="G24" i="1"/>
  <c r="I23" i="1"/>
  <c r="H23" i="1"/>
  <c r="G23" i="1"/>
  <c r="F23" i="1"/>
  <c r="I22" i="1"/>
  <c r="H22" i="1"/>
  <c r="G22" i="1"/>
  <c r="F22" i="1"/>
  <c r="I21" i="1"/>
  <c r="H21" i="1"/>
  <c r="G21" i="1"/>
  <c r="F21" i="1"/>
  <c r="I20" i="1"/>
  <c r="H20" i="1"/>
  <c r="G20" i="1"/>
  <c r="F20" i="1"/>
  <c r="I19" i="1"/>
  <c r="H19" i="1"/>
  <c r="G19" i="1"/>
  <c r="F19" i="1"/>
  <c r="I18" i="1"/>
  <c r="H18" i="1"/>
  <c r="G18" i="1"/>
  <c r="F18" i="1"/>
  <c r="I17" i="1"/>
  <c r="H17" i="1"/>
  <c r="G17" i="1"/>
  <c r="F17" i="1"/>
  <c r="I16" i="1"/>
  <c r="H16" i="1"/>
  <c r="G16" i="1"/>
  <c r="F16" i="1"/>
  <c r="I15" i="1"/>
  <c r="H15" i="1"/>
  <c r="G15" i="1"/>
  <c r="F1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I10" i="1"/>
  <c r="H10" i="1"/>
  <c r="G10" i="1"/>
  <c r="F10" i="1"/>
  <c r="I9" i="1"/>
  <c r="H9" i="1"/>
  <c r="G9" i="1"/>
  <c r="F9" i="1"/>
  <c r="I8" i="1"/>
  <c r="H8" i="1"/>
  <c r="G8" i="1"/>
  <c r="F8" i="1"/>
  <c r="I7" i="1"/>
  <c r="H7" i="1"/>
  <c r="G7" i="1"/>
  <c r="F7" i="1"/>
  <c r="I6" i="1"/>
  <c r="H6" i="1"/>
  <c r="G6" i="1"/>
  <c r="F6" i="1"/>
  <c r="I5" i="1"/>
  <c r="H5" i="1"/>
  <c r="G5" i="1"/>
  <c r="F5" i="1"/>
  <c r="I4" i="1"/>
  <c r="H4" i="1"/>
  <c r="G4" i="1"/>
  <c r="F4" i="1"/>
  <c r="F47" i="1"/>
  <c r="P45" i="1" l="1"/>
  <c r="P48" i="1" s="1"/>
  <c r="Q45" i="1"/>
  <c r="Q48" i="1" s="1"/>
  <c r="R45" i="1"/>
  <c r="R48" i="1" s="1"/>
  <c r="S45" i="1"/>
  <c r="S48" i="1" s="1"/>
  <c r="F45" i="1"/>
  <c r="F48" i="1" s="1"/>
  <c r="G45" i="1"/>
  <c r="G48" i="1" s="1"/>
  <c r="H45" i="1"/>
  <c r="H48" i="1" s="1"/>
  <c r="I45" i="1"/>
  <c r="I48" i="1" s="1"/>
</calcChain>
</file>

<file path=xl/sharedStrings.xml><?xml version="1.0" encoding="utf-8"?>
<sst xmlns="http://schemas.openxmlformats.org/spreadsheetml/2006/main" count="28" uniqueCount="12">
  <si>
    <t>CTRL</t>
  </si>
  <si>
    <t>ET</t>
  </si>
  <si>
    <t>PV</t>
  </si>
  <si>
    <t>MF</t>
  </si>
  <si>
    <t>average</t>
  </si>
  <si>
    <t>n</t>
  </si>
  <si>
    <t>Sd</t>
  </si>
  <si>
    <t>CV</t>
  </si>
  <si>
    <t>HMGA1</t>
  </si>
  <si>
    <t>HMGA2</t>
  </si>
  <si>
    <t>LN HMGA1</t>
  </si>
  <si>
    <t>LN HMGA2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</si>
</sst>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sz val="11"/>
      <color rgb="FFFF0000"/>
      <name val="Aptos Narrow"/>
      <family val="2"/>
      <scheme val="minor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5553-BDA5-4B54-A811-2E61D1CFACAB}">
  <dimension ref="A1:S48"/>
  <sheetViews>
    <sheetView tabSelected="1" topLeftCell="A13" workbookViewId="0">
      <selection activeCell="I51" sqref="I51"/>
    </sheetView>
  </sheetViews>
  <sheetFormatPr defaultRowHeight="15" x14ac:dyDescent="0.25"/>
  <sheetData>
    <row r="1" spans="1:19" x14ac:dyDescent="0.25">
      <c r="A1" t="s">
        <v>8</v>
      </c>
      <c r="F1" t="s">
        <v>10</v>
      </c>
      <c r="K1" t="s">
        <v>9</v>
      </c>
      <c r="P1" t="s">
        <v>11</v>
      </c>
    </row>
    <row r="2" spans="1:19" x14ac:dyDescent="0.25">
      <c r="A2" s="2" t="s">
        <v>0</v>
      </c>
      <c r="B2" s="2" t="s">
        <v>1</v>
      </c>
      <c r="C2" s="2" t="s">
        <v>2</v>
      </c>
      <c r="D2" s="2" t="s">
        <v>3</v>
      </c>
      <c r="F2" s="2" t="s">
        <v>0</v>
      </c>
      <c r="G2" s="2" t="s">
        <v>1</v>
      </c>
      <c r="H2" s="2" t="s">
        <v>2</v>
      </c>
      <c r="I2" s="2" t="s">
        <v>3</v>
      </c>
      <c r="K2" s="2" t="s">
        <v>0</v>
      </c>
      <c r="L2" s="2" t="s">
        <v>1</v>
      </c>
      <c r="M2" s="2" t="s">
        <v>2</v>
      </c>
      <c r="N2" s="2" t="s">
        <v>3</v>
      </c>
      <c r="P2" s="2" t="s">
        <v>0</v>
      </c>
      <c r="Q2" s="2" t="s">
        <v>1</v>
      </c>
      <c r="R2" s="2" t="s">
        <v>2</v>
      </c>
      <c r="S2" s="2" t="s">
        <v>3</v>
      </c>
    </row>
    <row r="3" spans="1:19" x14ac:dyDescent="0.25">
      <c r="A3" s="1">
        <v>232.74100000000001</v>
      </c>
      <c r="B3" s="1">
        <v>855.82399999999996</v>
      </c>
      <c r="C3" s="1">
        <v>776.61500000000001</v>
      </c>
      <c r="D3" s="1">
        <v>4030.6129999999998</v>
      </c>
      <c r="F3">
        <f>LN(A3+1)</f>
        <v>5.4542136647537527</v>
      </c>
      <c r="G3">
        <f t="shared" ref="G3:I3" si="0">LN(B3+1)</f>
        <v>6.7532325299457145</v>
      </c>
      <c r="H3">
        <f t="shared" si="0"/>
        <v>6.6562315430836341</v>
      </c>
      <c r="I3">
        <f t="shared" si="0"/>
        <v>8.3019218230017664</v>
      </c>
      <c r="K3" s="1">
        <v>0.92</v>
      </c>
      <c r="L3" s="1">
        <v>1.976</v>
      </c>
      <c r="M3" s="1">
        <v>5.5410000000000004</v>
      </c>
      <c r="N3" s="1">
        <v>45.87</v>
      </c>
      <c r="P3">
        <f>LN(K3+1)</f>
        <v>0.65232518603969014</v>
      </c>
      <c r="Q3">
        <f t="shared" ref="Q3:Q26" si="1">LN(L3+1)</f>
        <v>1.0905801169708453</v>
      </c>
      <c r="R3">
        <f t="shared" ref="R3:R35" si="2">LN(M3+1)</f>
        <v>1.8780900589790757</v>
      </c>
      <c r="S3">
        <f t="shared" ref="S3:S44" si="3">LN(N3+1)</f>
        <v>3.8473778119346149</v>
      </c>
    </row>
    <row r="4" spans="1:19" x14ac:dyDescent="0.25">
      <c r="A4" s="1">
        <v>190.44499999999999</v>
      </c>
      <c r="B4" s="1">
        <v>545.16</v>
      </c>
      <c r="C4" s="1">
        <v>969.80499999999995</v>
      </c>
      <c r="D4" s="1">
        <v>1873.329</v>
      </c>
      <c r="F4">
        <f t="shared" ref="F4:F23" si="4">LN(A4+1)</f>
        <v>5.2546005611027633</v>
      </c>
      <c r="G4">
        <f t="shared" ref="G4:G26" si="5">LN(B4+1)</f>
        <v>6.3029119731100245</v>
      </c>
      <c r="H4">
        <f t="shared" ref="H4:H35" si="6">LN(C4+1)</f>
        <v>6.8781256242306128</v>
      </c>
      <c r="I4">
        <f t="shared" ref="I4:I44" si="7">LN(D4+1)</f>
        <v>7.5360060076882878</v>
      </c>
      <c r="K4" s="1">
        <v>14.349</v>
      </c>
      <c r="L4" s="1">
        <v>5.7690000000000001</v>
      </c>
      <c r="M4" s="1">
        <v>0</v>
      </c>
      <c r="N4" s="1">
        <v>9.0399999999999991</v>
      </c>
      <c r="P4">
        <f t="shared" ref="P4:P23" si="8">LN(K4+1)</f>
        <v>2.731050325331271</v>
      </c>
      <c r="Q4">
        <f t="shared" si="1"/>
        <v>1.9123533655264706</v>
      </c>
      <c r="R4">
        <f t="shared" si="2"/>
        <v>0</v>
      </c>
      <c r="S4">
        <f t="shared" si="3"/>
        <v>2.3065771142635829</v>
      </c>
    </row>
    <row r="5" spans="1:19" x14ac:dyDescent="0.25">
      <c r="A5" s="1">
        <v>312.42599999999999</v>
      </c>
      <c r="B5" s="1">
        <v>621.005</v>
      </c>
      <c r="C5" s="1">
        <v>1403.547</v>
      </c>
      <c r="D5" s="1">
        <v>3912.491</v>
      </c>
      <c r="F5">
        <f t="shared" si="4"/>
        <v>5.7475632875529534</v>
      </c>
      <c r="G5">
        <f t="shared" si="5"/>
        <v>6.4329481312920791</v>
      </c>
      <c r="H5">
        <f t="shared" si="6"/>
        <v>7.2474701098505401</v>
      </c>
      <c r="I5">
        <f t="shared" si="7"/>
        <v>8.2721850935105508</v>
      </c>
      <c r="K5" s="1">
        <v>25.47</v>
      </c>
      <c r="L5" s="1">
        <v>5.274</v>
      </c>
      <c r="M5" s="1">
        <v>3.6219999999999999</v>
      </c>
      <c r="N5" s="1">
        <v>8.7110000000000003</v>
      </c>
      <c r="P5">
        <f t="shared" si="8"/>
        <v>3.2760120162390098</v>
      </c>
      <c r="Q5">
        <f t="shared" si="1"/>
        <v>1.8364141097684865</v>
      </c>
      <c r="R5">
        <f t="shared" si="2"/>
        <v>1.530827511852189</v>
      </c>
      <c r="S5">
        <f t="shared" si="3"/>
        <v>2.2732592636122169</v>
      </c>
    </row>
    <row r="6" spans="1:19" x14ac:dyDescent="0.25">
      <c r="A6" s="1">
        <v>292.23200000000003</v>
      </c>
      <c r="B6" s="1">
        <v>1322.9390000000001</v>
      </c>
      <c r="C6" s="1">
        <v>1438.2370000000001</v>
      </c>
      <c r="D6" s="1">
        <v>3536.625</v>
      </c>
      <c r="F6">
        <f t="shared" si="4"/>
        <v>5.680964104575521</v>
      </c>
      <c r="G6">
        <f t="shared" si="5"/>
        <v>7.1883666629280301</v>
      </c>
      <c r="H6">
        <f t="shared" si="6"/>
        <v>7.27186839103293</v>
      </c>
      <c r="I6">
        <f t="shared" si="7"/>
        <v>8.1712108770162484</v>
      </c>
      <c r="K6" s="1">
        <v>16.178999999999998</v>
      </c>
      <c r="L6" s="1">
        <v>0.97</v>
      </c>
      <c r="M6" s="1">
        <v>5.9020000000000001</v>
      </c>
      <c r="N6" s="1">
        <v>22.343</v>
      </c>
      <c r="P6">
        <f t="shared" si="8"/>
        <v>2.8436877076443086</v>
      </c>
      <c r="Q6">
        <f t="shared" si="1"/>
        <v>0.67803354274989713</v>
      </c>
      <c r="R6">
        <f t="shared" si="2"/>
        <v>1.9318112246758117</v>
      </c>
      <c r="S6">
        <f t="shared" si="3"/>
        <v>3.1502971533029029</v>
      </c>
    </row>
    <row r="7" spans="1:19" x14ac:dyDescent="0.25">
      <c r="A7" s="1">
        <v>314.89699999999999</v>
      </c>
      <c r="B7" s="1">
        <v>1970.413</v>
      </c>
      <c r="C7" s="1">
        <v>1301.739</v>
      </c>
      <c r="D7" s="1">
        <v>5348.4440000000004</v>
      </c>
      <c r="F7">
        <f t="shared" si="4"/>
        <v>5.7554162110867821</v>
      </c>
      <c r="G7">
        <f t="shared" si="5"/>
        <v>7.5865058235080642</v>
      </c>
      <c r="H7">
        <f t="shared" si="6"/>
        <v>7.1722242500768383</v>
      </c>
      <c r="I7">
        <f t="shared" si="7"/>
        <v>8.5847479092558068</v>
      </c>
      <c r="K7" s="1">
        <v>25.297999999999998</v>
      </c>
      <c r="L7" s="1">
        <v>8.0939999999999994</v>
      </c>
      <c r="M7" s="1">
        <v>44.978999999999999</v>
      </c>
      <c r="N7" s="1">
        <v>28.748000000000001</v>
      </c>
      <c r="P7">
        <f t="shared" si="8"/>
        <v>3.2694928906647269</v>
      </c>
      <c r="Q7">
        <f t="shared" si="1"/>
        <v>2.2076148554028188</v>
      </c>
      <c r="R7">
        <f t="shared" si="2"/>
        <v>3.8281847705121899</v>
      </c>
      <c r="S7">
        <f t="shared" si="3"/>
        <v>3.3927619028410536</v>
      </c>
    </row>
    <row r="8" spans="1:19" x14ac:dyDescent="0.25">
      <c r="A8" s="1">
        <v>268.77999999999997</v>
      </c>
      <c r="B8" s="1">
        <v>1123.9680000000001</v>
      </c>
      <c r="C8" s="1">
        <v>1882.8109999999999</v>
      </c>
      <c r="D8" s="1">
        <v>1355.078</v>
      </c>
      <c r="F8">
        <f t="shared" si="4"/>
        <v>5.5976068120415334</v>
      </c>
      <c r="G8">
        <f t="shared" si="5"/>
        <v>7.0255098697895253</v>
      </c>
      <c r="H8">
        <f t="shared" si="6"/>
        <v>7.5410521316327364</v>
      </c>
      <c r="I8">
        <f t="shared" si="7"/>
        <v>7.2123519889699006</v>
      </c>
      <c r="K8" s="1">
        <v>5.2089999999999996</v>
      </c>
      <c r="L8" s="1">
        <v>4.3609999999999998</v>
      </c>
      <c r="M8" s="1">
        <v>10.964</v>
      </c>
      <c r="N8" s="1">
        <v>0</v>
      </c>
      <c r="P8">
        <f t="shared" si="8"/>
        <v>1.8259998523827556</v>
      </c>
      <c r="Q8">
        <f t="shared" si="1"/>
        <v>1.6791505248454006</v>
      </c>
      <c r="R8">
        <f t="shared" si="2"/>
        <v>2.4819021407677018</v>
      </c>
      <c r="S8">
        <f t="shared" si="3"/>
        <v>0</v>
      </c>
    </row>
    <row r="9" spans="1:19" x14ac:dyDescent="0.25">
      <c r="A9" s="1">
        <v>198.685</v>
      </c>
      <c r="B9" s="1">
        <v>546.20899999999995</v>
      </c>
      <c r="C9" s="1">
        <v>791.10900000000004</v>
      </c>
      <c r="D9" s="1">
        <v>1588.684</v>
      </c>
      <c r="F9">
        <f t="shared" si="4"/>
        <v>5.2967411249316685</v>
      </c>
      <c r="G9">
        <f t="shared" si="5"/>
        <v>6.3048308135415052</v>
      </c>
      <c r="H9">
        <f t="shared" si="6"/>
        <v>6.6746990086074272</v>
      </c>
      <c r="I9">
        <f t="shared" si="7"/>
        <v>7.3712905333240766</v>
      </c>
      <c r="K9" s="1">
        <v>6.4089999999999998</v>
      </c>
      <c r="L9" s="1">
        <v>7.0030000000000001</v>
      </c>
      <c r="M9" s="1">
        <v>10.567</v>
      </c>
      <c r="N9" s="1">
        <v>1.6719999999999999</v>
      </c>
      <c r="P9">
        <f t="shared" si="8"/>
        <v>2.00269547743452</v>
      </c>
      <c r="Q9">
        <f t="shared" si="1"/>
        <v>2.079816471384909</v>
      </c>
      <c r="R9">
        <f t="shared" si="2"/>
        <v>2.4481562163132646</v>
      </c>
      <c r="S9">
        <f t="shared" si="3"/>
        <v>0.98282725567439921</v>
      </c>
    </row>
    <row r="10" spans="1:19" x14ac:dyDescent="0.25">
      <c r="A10" s="1">
        <v>270.06700000000001</v>
      </c>
      <c r="B10" s="1">
        <v>371.71600000000001</v>
      </c>
      <c r="C10" s="1">
        <v>580.875</v>
      </c>
      <c r="D10" s="1">
        <v>2760.9079999999999</v>
      </c>
      <c r="F10">
        <f t="shared" si="4"/>
        <v>5.6023660227951142</v>
      </c>
      <c r="G10">
        <f t="shared" si="5"/>
        <v>5.9208167355342338</v>
      </c>
      <c r="H10">
        <f t="shared" si="6"/>
        <v>6.3662556480313315</v>
      </c>
      <c r="I10">
        <f t="shared" si="7"/>
        <v>7.9236770242182395</v>
      </c>
      <c r="K10" s="1">
        <v>7.9640000000000004</v>
      </c>
      <c r="L10" s="1">
        <v>23.177</v>
      </c>
      <c r="M10" s="1">
        <v>3.1230000000000002</v>
      </c>
      <c r="N10" s="1">
        <v>9.0180000000000007</v>
      </c>
      <c r="P10">
        <f t="shared" si="8"/>
        <v>2.1932165559386805</v>
      </c>
      <c r="Q10">
        <f t="shared" si="1"/>
        <v>3.1854017680104838</v>
      </c>
      <c r="R10">
        <f t="shared" si="2"/>
        <v>1.416581053724763</v>
      </c>
      <c r="S10">
        <f t="shared" si="3"/>
        <v>2.3043834749354253</v>
      </c>
    </row>
    <row r="11" spans="1:19" x14ac:dyDescent="0.25">
      <c r="A11" s="1">
        <v>275.77699999999999</v>
      </c>
      <c r="B11" s="1">
        <v>774.14700000000005</v>
      </c>
      <c r="C11" s="1">
        <v>2013.8530000000001</v>
      </c>
      <c r="D11" s="1">
        <v>437.40300000000002</v>
      </c>
      <c r="F11">
        <f t="shared" si="4"/>
        <v>5.6232121278055933</v>
      </c>
      <c r="G11">
        <f t="shared" si="5"/>
        <v>6.6530526887862145</v>
      </c>
      <c r="H11">
        <f t="shared" si="6"/>
        <v>7.6083015188659964</v>
      </c>
      <c r="I11">
        <f t="shared" si="7"/>
        <v>6.0831385786760857</v>
      </c>
      <c r="K11" s="1">
        <v>7.556</v>
      </c>
      <c r="L11" s="1">
        <v>2.8149999999999999</v>
      </c>
      <c r="M11" s="1">
        <v>8.17</v>
      </c>
      <c r="N11" s="1">
        <v>2.3519999999999999</v>
      </c>
      <c r="P11">
        <f t="shared" si="8"/>
        <v>2.1466327912201595</v>
      </c>
      <c r="Q11">
        <f t="shared" si="1"/>
        <v>1.3389406647364204</v>
      </c>
      <c r="R11">
        <f t="shared" si="2"/>
        <v>2.2159372862683733</v>
      </c>
      <c r="S11">
        <f t="shared" si="3"/>
        <v>1.2095571826198366</v>
      </c>
    </row>
    <row r="12" spans="1:19" x14ac:dyDescent="0.25">
      <c r="A12" s="1">
        <v>329.31799999999998</v>
      </c>
      <c r="B12" s="1">
        <v>944.80700000000002</v>
      </c>
      <c r="C12" s="1">
        <v>1501.825</v>
      </c>
      <c r="D12" s="1">
        <v>2349.1149999999998</v>
      </c>
      <c r="F12">
        <f t="shared" si="4"/>
        <v>5.8000558268247024</v>
      </c>
      <c r="G12">
        <f t="shared" si="5"/>
        <v>6.8520385313242773</v>
      </c>
      <c r="H12">
        <f t="shared" si="6"/>
        <v>7.3151019491749647</v>
      </c>
      <c r="I12">
        <f t="shared" si="7"/>
        <v>7.7622195421110822</v>
      </c>
      <c r="K12" s="1">
        <v>8.61</v>
      </c>
      <c r="L12" s="1">
        <v>5.5090000000000003</v>
      </c>
      <c r="M12" s="1">
        <v>0.94799999999999995</v>
      </c>
      <c r="N12" s="1">
        <v>29.175000000000001</v>
      </c>
      <c r="P12">
        <f t="shared" si="8"/>
        <v>2.2628042229822012</v>
      </c>
      <c r="Q12">
        <f t="shared" si="1"/>
        <v>1.8731858345902503</v>
      </c>
      <c r="R12">
        <f t="shared" si="2"/>
        <v>0.66680320522034331</v>
      </c>
      <c r="S12">
        <f t="shared" si="3"/>
        <v>3.4070137669835954</v>
      </c>
    </row>
    <row r="13" spans="1:19" x14ac:dyDescent="0.25">
      <c r="A13" s="1">
        <v>185.34899999999999</v>
      </c>
      <c r="B13" s="1">
        <v>394.02800000000002</v>
      </c>
      <c r="C13" s="1">
        <v>1283.4449999999999</v>
      </c>
      <c r="D13" s="1">
        <v>4323.3689999999997</v>
      </c>
      <c r="F13">
        <f t="shared" si="4"/>
        <v>5.2276212596645584</v>
      </c>
      <c r="G13">
        <f t="shared" si="5"/>
        <v>5.9789566484647718</v>
      </c>
      <c r="H13">
        <f t="shared" si="6"/>
        <v>7.1580819974160068</v>
      </c>
      <c r="I13">
        <f t="shared" si="7"/>
        <v>8.3720215127683719</v>
      </c>
      <c r="K13" s="1">
        <v>7.2690000000000001</v>
      </c>
      <c r="L13" s="1">
        <v>13.222</v>
      </c>
      <c r="M13" s="1">
        <v>1.9490000000000001</v>
      </c>
      <c r="N13" s="1">
        <v>51.331000000000003</v>
      </c>
      <c r="P13">
        <f t="shared" si="8"/>
        <v>2.1125135827400299</v>
      </c>
      <c r="Q13">
        <f t="shared" si="1"/>
        <v>2.654790061461326</v>
      </c>
      <c r="R13">
        <f t="shared" si="2"/>
        <v>1.0814661298331392</v>
      </c>
      <c r="S13">
        <f t="shared" si="3"/>
        <v>3.9575889296989528</v>
      </c>
    </row>
    <row r="14" spans="1:19" x14ac:dyDescent="0.25">
      <c r="A14" s="1">
        <v>379.50099999999998</v>
      </c>
      <c r="B14" s="1">
        <v>719.702</v>
      </c>
      <c r="C14" s="1">
        <v>1019.832</v>
      </c>
      <c r="D14" s="1">
        <v>3146.1669999999999</v>
      </c>
      <c r="F14">
        <f t="shared" si="4"/>
        <v>5.9414888054191808</v>
      </c>
      <c r="G14">
        <f t="shared" si="5"/>
        <v>6.5802257370063284</v>
      </c>
      <c r="H14">
        <f t="shared" si="6"/>
        <v>6.9283732600615711</v>
      </c>
      <c r="I14">
        <f t="shared" si="7"/>
        <v>8.0542579620688901</v>
      </c>
      <c r="K14" s="1">
        <v>6.7080000000000002</v>
      </c>
      <c r="L14" s="1">
        <v>60.722000000000001</v>
      </c>
      <c r="M14" s="1">
        <v>0</v>
      </c>
      <c r="N14" s="1">
        <v>23.827999999999999</v>
      </c>
      <c r="P14">
        <f t="shared" si="8"/>
        <v>2.0422587505521199</v>
      </c>
      <c r="Q14">
        <f t="shared" si="1"/>
        <v>4.122640431376948</v>
      </c>
      <c r="R14">
        <f t="shared" si="2"/>
        <v>0</v>
      </c>
      <c r="S14">
        <f t="shared" si="3"/>
        <v>3.2119720485514063</v>
      </c>
    </row>
    <row r="15" spans="1:19" x14ac:dyDescent="0.25">
      <c r="A15" s="1">
        <v>274.52</v>
      </c>
      <c r="B15" s="1">
        <v>541.10500000000002</v>
      </c>
      <c r="C15" s="1">
        <v>582.33100000000002</v>
      </c>
      <c r="D15" s="1">
        <v>2784.7689999999998</v>
      </c>
      <c r="F15">
        <f t="shared" si="4"/>
        <v>5.6186602212393657</v>
      </c>
      <c r="G15">
        <f t="shared" si="5"/>
        <v>6.2954597096142759</v>
      </c>
      <c r="H15">
        <f t="shared" si="6"/>
        <v>6.36875477824145</v>
      </c>
      <c r="I15">
        <f t="shared" si="7"/>
        <v>7.9322792363292836</v>
      </c>
      <c r="K15" s="1">
        <v>0</v>
      </c>
      <c r="L15" s="1">
        <v>5.4749999999999996</v>
      </c>
      <c r="M15" s="1">
        <v>14.903</v>
      </c>
      <c r="N15" s="1">
        <v>24.917999999999999</v>
      </c>
      <c r="P15">
        <f t="shared" si="8"/>
        <v>0</v>
      </c>
      <c r="Q15">
        <f t="shared" si="1"/>
        <v>1.8679486075856013</v>
      </c>
      <c r="R15">
        <f t="shared" si="2"/>
        <v>2.7665077706737788</v>
      </c>
      <c r="S15">
        <f t="shared" si="3"/>
        <v>3.2549377080132227</v>
      </c>
    </row>
    <row r="16" spans="1:19" x14ac:dyDescent="0.25">
      <c r="A16" s="1">
        <v>249.483</v>
      </c>
      <c r="B16" s="1">
        <v>890.17899999999997</v>
      </c>
      <c r="C16" s="1">
        <v>1150.0419999999999</v>
      </c>
      <c r="D16" s="1">
        <v>1964.67</v>
      </c>
      <c r="F16">
        <f t="shared" si="4"/>
        <v>5.5233910539505784</v>
      </c>
      <c r="G16">
        <f t="shared" si="5"/>
        <v>6.7925453051610996</v>
      </c>
      <c r="H16">
        <f t="shared" si="6"/>
        <v>7.0484228980648265</v>
      </c>
      <c r="I16">
        <f t="shared" si="7"/>
        <v>7.5835884331084706</v>
      </c>
      <c r="K16" s="1">
        <v>4.7300000000000004</v>
      </c>
      <c r="L16" s="1">
        <v>2.9510000000000001</v>
      </c>
      <c r="M16" s="1">
        <v>4.0270000000000001</v>
      </c>
      <c r="N16" s="1">
        <v>2.4249999999999998</v>
      </c>
      <c r="P16">
        <f t="shared" si="8"/>
        <v>1.7457155307266483</v>
      </c>
      <c r="Q16">
        <f t="shared" si="1"/>
        <v>1.3739687114292538</v>
      </c>
      <c r="R16">
        <f t="shared" si="2"/>
        <v>1.6148233847104383</v>
      </c>
      <c r="S16">
        <f t="shared" si="3"/>
        <v>1.2311014717141886</v>
      </c>
    </row>
    <row r="17" spans="1:19" x14ac:dyDescent="0.25">
      <c r="A17" s="1">
        <v>106.751</v>
      </c>
      <c r="B17" s="1">
        <v>460.279</v>
      </c>
      <c r="C17" s="1">
        <v>627.28300000000002</v>
      </c>
      <c r="D17" s="1">
        <v>3070.1509999999998</v>
      </c>
      <c r="F17">
        <f t="shared" si="4"/>
        <v>4.6798230096832505</v>
      </c>
      <c r="G17">
        <f t="shared" si="5"/>
        <v>6.1340030660070619</v>
      </c>
      <c r="H17">
        <f t="shared" si="6"/>
        <v>6.4429907019045407</v>
      </c>
      <c r="I17">
        <f t="shared" si="7"/>
        <v>8.0298076888836132</v>
      </c>
      <c r="K17" s="1">
        <v>9.7050000000000001</v>
      </c>
      <c r="L17" s="1">
        <v>4.6970000000000001</v>
      </c>
      <c r="M17" s="1">
        <v>9.3480000000000008</v>
      </c>
      <c r="N17" s="1">
        <v>11.112</v>
      </c>
      <c r="P17">
        <f t="shared" si="8"/>
        <v>2.370710922041646</v>
      </c>
      <c r="Q17">
        <f t="shared" si="1"/>
        <v>1.7399397204982585</v>
      </c>
      <c r="R17">
        <f t="shared" si="2"/>
        <v>2.336793264323783</v>
      </c>
      <c r="S17">
        <f t="shared" si="3"/>
        <v>2.4941966966950928</v>
      </c>
    </row>
    <row r="18" spans="1:19" x14ac:dyDescent="0.25">
      <c r="A18" s="1">
        <v>244.96299999999999</v>
      </c>
      <c r="B18" s="1">
        <v>300.798</v>
      </c>
      <c r="C18" s="1">
        <v>1509.172</v>
      </c>
      <c r="D18" s="1">
        <v>2581.5430000000001</v>
      </c>
      <c r="F18">
        <f t="shared" si="4"/>
        <v>5.5051811181161048</v>
      </c>
      <c r="G18">
        <f t="shared" si="5"/>
        <v>5.7097579194065551</v>
      </c>
      <c r="H18">
        <f t="shared" si="6"/>
        <v>7.3199788306067957</v>
      </c>
      <c r="I18">
        <f t="shared" si="7"/>
        <v>7.856529851387605</v>
      </c>
      <c r="K18" s="1">
        <v>7.9020000000000001</v>
      </c>
      <c r="L18" s="1">
        <v>7.5469999999999997</v>
      </c>
      <c r="M18" s="1">
        <v>10.375999999999999</v>
      </c>
      <c r="N18" s="1">
        <v>2.9140000000000001</v>
      </c>
      <c r="P18">
        <f t="shared" si="8"/>
        <v>2.1862759705936625</v>
      </c>
      <c r="Q18">
        <f t="shared" si="1"/>
        <v>2.1455803441838812</v>
      </c>
      <c r="R18">
        <f t="shared" si="2"/>
        <v>2.4315058730608849</v>
      </c>
      <c r="S18">
        <f t="shared" si="3"/>
        <v>1.3645598689738845</v>
      </c>
    </row>
    <row r="19" spans="1:19" x14ac:dyDescent="0.25">
      <c r="A19" s="1">
        <v>415.33300000000003</v>
      </c>
      <c r="B19" s="1">
        <v>566.298</v>
      </c>
      <c r="C19" s="1">
        <v>2048.5920000000001</v>
      </c>
      <c r="D19" s="1">
        <v>2785.1779999999999</v>
      </c>
      <c r="F19">
        <f t="shared" si="4"/>
        <v>6.0314854208166349</v>
      </c>
      <c r="G19">
        <f t="shared" si="5"/>
        <v>6.3408847388547755</v>
      </c>
      <c r="H19">
        <f t="shared" si="6"/>
        <v>7.6253960279342277</v>
      </c>
      <c r="I19">
        <f t="shared" si="7"/>
        <v>7.9324260431818017</v>
      </c>
      <c r="K19" s="1">
        <v>8.9</v>
      </c>
      <c r="L19" s="1">
        <v>0</v>
      </c>
      <c r="M19" s="1">
        <v>0.91700000000000004</v>
      </c>
      <c r="N19" s="1">
        <v>31.553999999999998</v>
      </c>
      <c r="P19">
        <f t="shared" si="8"/>
        <v>2.2925347571405443</v>
      </c>
      <c r="Q19">
        <f t="shared" si="1"/>
        <v>0</v>
      </c>
      <c r="R19">
        <f t="shared" si="2"/>
        <v>0.65076146406350743</v>
      </c>
      <c r="S19">
        <f t="shared" si="3"/>
        <v>3.4829002489693064</v>
      </c>
    </row>
    <row r="20" spans="1:19" x14ac:dyDescent="0.25">
      <c r="A20" s="1">
        <v>122.815</v>
      </c>
      <c r="B20" s="1">
        <v>1016.596</v>
      </c>
      <c r="C20" s="1">
        <v>2286.4250000000002</v>
      </c>
      <c r="D20" s="1">
        <v>378.351</v>
      </c>
      <c r="F20">
        <f t="shared" si="4"/>
        <v>4.8187885160772295</v>
      </c>
      <c r="G20">
        <f t="shared" si="5"/>
        <v>6.9251982617605217</v>
      </c>
      <c r="H20">
        <f t="shared" si="6"/>
        <v>7.7351820097269286</v>
      </c>
      <c r="I20">
        <f t="shared" si="7"/>
        <v>5.9384618978686543</v>
      </c>
      <c r="K20" s="1">
        <v>12.282</v>
      </c>
      <c r="L20" s="1">
        <v>1.1919999999999999</v>
      </c>
      <c r="M20" s="1">
        <v>3.3820000000000001</v>
      </c>
      <c r="N20" s="1">
        <v>17.004999999999999</v>
      </c>
      <c r="P20">
        <f t="shared" si="8"/>
        <v>2.5864097351185218</v>
      </c>
      <c r="Q20">
        <f t="shared" si="1"/>
        <v>0.78481436908576918</v>
      </c>
      <c r="R20">
        <f t="shared" si="2"/>
        <v>1.4775052411732748</v>
      </c>
      <c r="S20">
        <f t="shared" si="3"/>
        <v>2.8906494971008385</v>
      </c>
    </row>
    <row r="21" spans="1:19" x14ac:dyDescent="0.25">
      <c r="A21" s="1">
        <v>337.97300000000001</v>
      </c>
      <c r="B21" s="1">
        <v>2652.5650000000001</v>
      </c>
      <c r="C21" s="1">
        <v>1813.087</v>
      </c>
      <c r="D21" s="1">
        <v>1202.5160000000001</v>
      </c>
      <c r="F21">
        <f t="shared" si="4"/>
        <v>5.825920458190839</v>
      </c>
      <c r="G21">
        <f t="shared" si="5"/>
        <v>7.883659297916676</v>
      </c>
      <c r="H21">
        <f t="shared" si="6"/>
        <v>7.5033375898337331</v>
      </c>
      <c r="I21">
        <f t="shared" si="7"/>
        <v>7.0930025516922957</v>
      </c>
      <c r="K21" s="1">
        <v>3.6150000000000002</v>
      </c>
      <c r="L21" s="1">
        <v>1.5780000000000001</v>
      </c>
      <c r="M21" s="1">
        <v>1.663</v>
      </c>
      <c r="N21" s="1">
        <v>1.3169999999999999</v>
      </c>
      <c r="P21">
        <f t="shared" si="8"/>
        <v>1.5293118679548154</v>
      </c>
      <c r="Q21">
        <f t="shared" si="1"/>
        <v>0.94701390451699574</v>
      </c>
      <c r="R21">
        <f t="shared" si="2"/>
        <v>0.97945330683179532</v>
      </c>
      <c r="S21">
        <f t="shared" si="3"/>
        <v>0.84027324545023918</v>
      </c>
    </row>
    <row r="22" spans="1:19" x14ac:dyDescent="0.25">
      <c r="A22" s="1">
        <v>749.01400000000001</v>
      </c>
      <c r="B22" s="1">
        <v>2176.25</v>
      </c>
      <c r="C22" s="1">
        <v>336.11799999999999</v>
      </c>
      <c r="D22" s="1">
        <v>2293.1750000000002</v>
      </c>
      <c r="F22">
        <f t="shared" si="4"/>
        <v>6.6200918730228029</v>
      </c>
      <c r="G22">
        <f t="shared" si="5"/>
        <v>7.6858178915728486</v>
      </c>
      <c r="H22">
        <f t="shared" si="6"/>
        <v>5.8204330174326806</v>
      </c>
      <c r="I22">
        <f t="shared" si="7"/>
        <v>7.7381285807430729</v>
      </c>
      <c r="K22" s="1">
        <v>11.484</v>
      </c>
      <c r="L22" s="1">
        <v>3.2919999999999998</v>
      </c>
      <c r="M22" s="1">
        <v>4.6680000000000001</v>
      </c>
      <c r="N22" s="1">
        <v>9.4450000000000003</v>
      </c>
      <c r="P22">
        <f t="shared" si="8"/>
        <v>2.5244478244085329</v>
      </c>
      <c r="Q22">
        <f t="shared" si="1"/>
        <v>1.456752824768452</v>
      </c>
      <c r="R22">
        <f t="shared" si="2"/>
        <v>1.7348363218284339</v>
      </c>
      <c r="S22">
        <f t="shared" si="3"/>
        <v>2.346123395008529</v>
      </c>
    </row>
    <row r="23" spans="1:19" x14ac:dyDescent="0.25">
      <c r="A23" s="1">
        <v>521.57500000000005</v>
      </c>
      <c r="B23" s="1">
        <v>2166.2080000000001</v>
      </c>
      <c r="C23" s="1">
        <v>1343.046</v>
      </c>
      <c r="D23" s="1">
        <v>1924.34</v>
      </c>
      <c r="F23">
        <f t="shared" si="4"/>
        <v>6.258768514207846</v>
      </c>
      <c r="G23">
        <f t="shared" si="5"/>
        <v>7.6811949821631123</v>
      </c>
      <c r="H23">
        <f t="shared" si="6"/>
        <v>7.2034397466878684</v>
      </c>
      <c r="I23">
        <f t="shared" si="7"/>
        <v>7.5628578545024361</v>
      </c>
      <c r="K23" s="1">
        <v>7.5960000000000001</v>
      </c>
      <c r="L23" s="1">
        <v>2.5350000000000001</v>
      </c>
      <c r="M23" s="1">
        <v>9.9730000000000008</v>
      </c>
      <c r="N23" s="1">
        <v>14.039</v>
      </c>
      <c r="P23">
        <f t="shared" si="8"/>
        <v>2.1512969787802638</v>
      </c>
      <c r="Q23">
        <f t="shared" si="1"/>
        <v>1.2627132993485362</v>
      </c>
      <c r="R23">
        <f t="shared" si="2"/>
        <v>2.3954377100086623</v>
      </c>
      <c r="S23">
        <f t="shared" si="3"/>
        <v>2.7106468269494761</v>
      </c>
    </row>
    <row r="24" spans="1:19" x14ac:dyDescent="0.25">
      <c r="A24" s="1"/>
      <c r="B24" s="1">
        <v>1939.816</v>
      </c>
      <c r="C24" s="1">
        <v>1238.624</v>
      </c>
      <c r="D24" s="1">
        <v>1453.921</v>
      </c>
      <c r="G24">
        <f t="shared" si="5"/>
        <v>7.5708637821788871</v>
      </c>
      <c r="H24">
        <f t="shared" si="6"/>
        <v>7.1225633868103904</v>
      </c>
      <c r="I24">
        <f t="shared" si="7"/>
        <v>7.282706882598891</v>
      </c>
      <c r="K24" s="1"/>
      <c r="L24" s="1">
        <v>3.2050000000000001</v>
      </c>
      <c r="M24" s="1">
        <v>2.0169999999999999</v>
      </c>
      <c r="N24" s="1">
        <v>10.013999999999999</v>
      </c>
      <c r="Q24">
        <f t="shared" si="1"/>
        <v>1.4362742934249113</v>
      </c>
      <c r="R24">
        <f t="shared" si="2"/>
        <v>1.104262960176924</v>
      </c>
      <c r="S24">
        <f t="shared" si="3"/>
        <v>2.3991671908402896</v>
      </c>
    </row>
    <row r="25" spans="1:19" x14ac:dyDescent="0.25">
      <c r="A25" s="1"/>
      <c r="B25" s="1">
        <v>2296.3510000000001</v>
      </c>
      <c r="C25" s="1">
        <v>964.99699999999996</v>
      </c>
      <c r="D25" s="1">
        <v>1973.8989999999999</v>
      </c>
      <c r="G25">
        <f t="shared" si="5"/>
        <v>7.7395119990255923</v>
      </c>
      <c r="H25">
        <f t="shared" si="6"/>
        <v>6.8731607286176333</v>
      </c>
      <c r="I25">
        <f t="shared" si="7"/>
        <v>7.58827253678706</v>
      </c>
      <c r="K25" s="1"/>
      <c r="L25" s="1">
        <v>8.9009999999999998</v>
      </c>
      <c r="M25" s="1">
        <v>9.7469999999999999</v>
      </c>
      <c r="N25" s="1">
        <v>1.2849999999999999</v>
      </c>
      <c r="Q25">
        <f t="shared" si="1"/>
        <v>2.2926357621403777</v>
      </c>
      <c r="R25">
        <f t="shared" si="2"/>
        <v>2.3746266458590162</v>
      </c>
      <c r="S25">
        <f t="shared" si="3"/>
        <v>0.82636602434616813</v>
      </c>
    </row>
    <row r="26" spans="1:19" x14ac:dyDescent="0.25">
      <c r="A26" s="1"/>
      <c r="B26" s="1">
        <v>1081.336</v>
      </c>
      <c r="C26" s="1">
        <v>1742.492</v>
      </c>
      <c r="D26" s="1">
        <v>5333.2820000000002</v>
      </c>
      <c r="G26">
        <f t="shared" si="5"/>
        <v>6.9868769472444514</v>
      </c>
      <c r="H26">
        <f t="shared" si="6"/>
        <v>7.463645277633713</v>
      </c>
      <c r="I26">
        <f t="shared" si="7"/>
        <v>8.5819095717359257</v>
      </c>
      <c r="K26" s="1"/>
      <c r="L26" s="1">
        <v>9.7609999999999992</v>
      </c>
      <c r="M26" s="1">
        <v>0</v>
      </c>
      <c r="N26" s="1">
        <v>11.933</v>
      </c>
      <c r="Q26">
        <f t="shared" si="1"/>
        <v>2.3759284872182551</v>
      </c>
      <c r="R26">
        <f t="shared" si="2"/>
        <v>0</v>
      </c>
      <c r="S26">
        <f t="shared" si="3"/>
        <v>2.5597821844331072</v>
      </c>
    </row>
    <row r="27" spans="1:19" x14ac:dyDescent="0.25">
      <c r="A27" s="1"/>
      <c r="B27" s="1"/>
      <c r="C27" s="1">
        <v>832.46400000000006</v>
      </c>
      <c r="D27" s="1">
        <v>2417.2310000000002</v>
      </c>
      <c r="H27">
        <f t="shared" si="6"/>
        <v>6.7255905098963478</v>
      </c>
      <c r="I27">
        <f t="shared" si="7"/>
        <v>7.7907915601104634</v>
      </c>
      <c r="K27" s="1"/>
      <c r="L27" s="1"/>
      <c r="M27" s="1">
        <v>2.3919999999999999</v>
      </c>
      <c r="N27" s="1">
        <v>2.6739999999999999</v>
      </c>
      <c r="R27">
        <f t="shared" si="2"/>
        <v>1.2214197179296566</v>
      </c>
      <c r="S27">
        <f t="shared" si="3"/>
        <v>1.3012809867929338</v>
      </c>
    </row>
    <row r="28" spans="1:19" x14ac:dyDescent="0.25">
      <c r="A28" s="1"/>
      <c r="B28" s="1"/>
      <c r="C28" s="1">
        <v>1783.576</v>
      </c>
      <c r="D28" s="1">
        <v>1972.172</v>
      </c>
      <c r="H28">
        <f t="shared" si="6"/>
        <v>7.4869361309838238</v>
      </c>
      <c r="I28">
        <f t="shared" si="7"/>
        <v>7.5873976791109188</v>
      </c>
      <c r="K28" s="1"/>
      <c r="L28" s="1"/>
      <c r="M28" s="1">
        <v>12.831</v>
      </c>
      <c r="N28" s="1">
        <v>2.7669999999999999</v>
      </c>
      <c r="R28">
        <f t="shared" si="2"/>
        <v>2.6269124496425706</v>
      </c>
      <c r="S28">
        <f t="shared" si="3"/>
        <v>1.3262789287099039</v>
      </c>
    </row>
    <row r="29" spans="1:19" x14ac:dyDescent="0.25">
      <c r="A29" s="1"/>
      <c r="B29" s="1"/>
      <c r="C29" s="1">
        <v>828.34199999999998</v>
      </c>
      <c r="D29" s="1">
        <v>383.827</v>
      </c>
      <c r="H29">
        <f t="shared" si="6"/>
        <v>6.7206326152971299</v>
      </c>
      <c r="I29">
        <f t="shared" si="7"/>
        <v>5.9527938826501767</v>
      </c>
      <c r="K29" s="1"/>
      <c r="L29" s="1"/>
      <c r="M29" s="1">
        <v>6.8739999999999997</v>
      </c>
      <c r="N29" s="1">
        <v>33.151000000000003</v>
      </c>
      <c r="R29">
        <f t="shared" si="2"/>
        <v>2.0635661925215456</v>
      </c>
      <c r="S29">
        <f t="shared" si="3"/>
        <v>3.5307918681649397</v>
      </c>
    </row>
    <row r="30" spans="1:19" x14ac:dyDescent="0.25">
      <c r="A30" s="1"/>
      <c r="B30" s="1"/>
      <c r="C30" s="1">
        <v>1523.3869999999999</v>
      </c>
      <c r="D30" s="1">
        <v>2789.971</v>
      </c>
      <c r="H30">
        <f t="shared" si="6"/>
        <v>7.3293476410179208</v>
      </c>
      <c r="I30">
        <f t="shared" si="7"/>
        <v>7.9341448429413157</v>
      </c>
      <c r="K30" s="1"/>
      <c r="L30" s="1"/>
      <c r="M30" s="1">
        <v>5.7850000000000001</v>
      </c>
      <c r="N30" s="1">
        <v>17.016999999999999</v>
      </c>
      <c r="R30">
        <f t="shared" si="2"/>
        <v>1.9147142932868324</v>
      </c>
      <c r="S30">
        <f t="shared" si="3"/>
        <v>2.891315756633563</v>
      </c>
    </row>
    <row r="31" spans="1:19" x14ac:dyDescent="0.25">
      <c r="A31" s="1"/>
      <c r="B31" s="1"/>
      <c r="C31" s="1">
        <v>597.64800000000002</v>
      </c>
      <c r="D31" s="1">
        <v>5677.6660000000002</v>
      </c>
      <c r="H31">
        <f t="shared" si="6"/>
        <v>6.3946737793070252</v>
      </c>
      <c r="I31">
        <f t="shared" si="7"/>
        <v>8.6444716249765374</v>
      </c>
      <c r="K31" s="1"/>
      <c r="L31" s="1"/>
      <c r="M31" s="1">
        <v>26.699000000000002</v>
      </c>
      <c r="N31" s="1">
        <v>30.026</v>
      </c>
      <c r="R31">
        <f t="shared" si="2"/>
        <v>3.3213963114586007</v>
      </c>
      <c r="S31">
        <f t="shared" si="3"/>
        <v>3.4348255626421396</v>
      </c>
    </row>
    <row r="32" spans="1:19" x14ac:dyDescent="0.25">
      <c r="A32" s="1"/>
      <c r="B32" s="1"/>
      <c r="C32" s="1">
        <v>1131.711</v>
      </c>
      <c r="D32" s="1">
        <v>705.54600000000005</v>
      </c>
      <c r="H32">
        <f t="shared" si="6"/>
        <v>7.0323691534687747</v>
      </c>
      <c r="I32">
        <f t="shared" si="7"/>
        <v>6.5603883097007207</v>
      </c>
      <c r="K32" s="1"/>
      <c r="L32" s="1"/>
      <c r="M32" s="1">
        <v>0.61099999999999999</v>
      </c>
      <c r="N32" s="1">
        <v>3.3839999999999999</v>
      </c>
      <c r="R32">
        <f t="shared" si="2"/>
        <v>0.47685510419483734</v>
      </c>
      <c r="S32">
        <f t="shared" si="3"/>
        <v>1.4779615496457146</v>
      </c>
    </row>
    <row r="33" spans="1:19" x14ac:dyDescent="0.25">
      <c r="A33" s="1"/>
      <c r="B33" s="1"/>
      <c r="C33" s="1">
        <v>667.81</v>
      </c>
      <c r="D33" s="1">
        <v>2561.1509999999998</v>
      </c>
      <c r="H33">
        <f t="shared" si="6"/>
        <v>6.5055000138118197</v>
      </c>
      <c r="I33">
        <f t="shared" si="7"/>
        <v>7.8486024190493149</v>
      </c>
      <c r="K33" s="1"/>
      <c r="L33" s="1"/>
      <c r="M33" s="1">
        <v>13.722</v>
      </c>
      <c r="N33" s="1">
        <v>2.9670000000000001</v>
      </c>
      <c r="R33">
        <f t="shared" si="2"/>
        <v>2.689342973636514</v>
      </c>
      <c r="S33">
        <f t="shared" si="3"/>
        <v>1.378010141532193</v>
      </c>
    </row>
    <row r="34" spans="1:19" x14ac:dyDescent="0.25">
      <c r="A34" s="1"/>
      <c r="B34" s="1"/>
      <c r="C34" s="1">
        <v>2446.5729999999999</v>
      </c>
      <c r="D34" s="1">
        <v>2762.9450000000002</v>
      </c>
      <c r="H34">
        <f t="shared" si="6"/>
        <v>7.8028522003132901</v>
      </c>
      <c r="I34">
        <f t="shared" si="7"/>
        <v>7.9244142859920395</v>
      </c>
      <c r="K34" s="1"/>
      <c r="L34" s="1"/>
      <c r="M34" s="1">
        <v>2.9750000000000001</v>
      </c>
      <c r="N34" s="1">
        <v>7.63</v>
      </c>
      <c r="R34">
        <f t="shared" si="2"/>
        <v>1.3800247481062953</v>
      </c>
      <c r="S34">
        <f t="shared" si="3"/>
        <v>2.1552445050953364</v>
      </c>
    </row>
    <row r="35" spans="1:19" x14ac:dyDescent="0.25">
      <c r="A35" s="1"/>
      <c r="B35" s="1"/>
      <c r="C35" s="1">
        <v>1061.489</v>
      </c>
      <c r="D35" s="1">
        <v>3698.0439999999999</v>
      </c>
      <c r="H35">
        <f t="shared" si="6"/>
        <v>6.9683695478038032</v>
      </c>
      <c r="I35">
        <f t="shared" si="7"/>
        <v>8.2158296868684939</v>
      </c>
      <c r="K35" s="1"/>
      <c r="L35" s="1"/>
      <c r="M35" s="1">
        <v>7.1529999999999996</v>
      </c>
      <c r="N35" s="1">
        <v>2.4510000000000001</v>
      </c>
      <c r="R35">
        <f t="shared" si="2"/>
        <v>2.0983859576807737</v>
      </c>
      <c r="S35">
        <f t="shared" si="3"/>
        <v>1.2386640441158663</v>
      </c>
    </row>
    <row r="36" spans="1:19" x14ac:dyDescent="0.25">
      <c r="A36" s="1"/>
      <c r="B36" s="1"/>
      <c r="C36" s="1"/>
      <c r="D36" s="1">
        <v>1792.662</v>
      </c>
      <c r="I36">
        <f t="shared" si="7"/>
        <v>7.4920146190710382</v>
      </c>
      <c r="K36" s="1"/>
      <c r="L36" s="1"/>
      <c r="M36" s="1"/>
      <c r="N36" s="1">
        <v>3.8839999999999999</v>
      </c>
      <c r="S36">
        <f t="shared" si="3"/>
        <v>1.5859645562484583</v>
      </c>
    </row>
    <row r="37" spans="1:19" x14ac:dyDescent="0.25">
      <c r="A37" s="1"/>
      <c r="B37" s="1"/>
      <c r="C37" s="1"/>
      <c r="D37" s="1">
        <v>3003.0070000000001</v>
      </c>
      <c r="I37">
        <f t="shared" si="7"/>
        <v>8.0077023431076757</v>
      </c>
      <c r="K37" s="1"/>
      <c r="L37" s="1"/>
      <c r="M37" s="1"/>
      <c r="N37" s="1">
        <v>7.5890000000000004</v>
      </c>
      <c r="S37">
        <f t="shared" si="3"/>
        <v>2.1504823147840879</v>
      </c>
    </row>
    <row r="38" spans="1:19" x14ac:dyDescent="0.25">
      <c r="A38" s="1"/>
      <c r="B38" s="1"/>
      <c r="C38" s="1"/>
      <c r="D38" s="1">
        <v>1156.482</v>
      </c>
      <c r="I38">
        <f t="shared" si="7"/>
        <v>7.0540022350835354</v>
      </c>
      <c r="K38" s="1"/>
      <c r="L38" s="1"/>
      <c r="M38" s="1"/>
      <c r="N38" s="1">
        <v>6.78</v>
      </c>
      <c r="S38">
        <f t="shared" si="3"/>
        <v>2.0515563381903004</v>
      </c>
    </row>
    <row r="39" spans="1:19" x14ac:dyDescent="0.25">
      <c r="A39" s="1"/>
      <c r="B39" s="1"/>
      <c r="C39" s="1"/>
      <c r="D39" s="1">
        <v>3310.8519999999999</v>
      </c>
      <c r="I39">
        <f t="shared" si="7"/>
        <v>8.1052628285163628</v>
      </c>
      <c r="K39" s="1"/>
      <c r="L39" s="1"/>
      <c r="M39" s="1"/>
      <c r="N39" s="1">
        <v>30.491</v>
      </c>
      <c r="S39">
        <f t="shared" si="3"/>
        <v>3.4497017907217704</v>
      </c>
    </row>
    <row r="40" spans="1:19" x14ac:dyDescent="0.25">
      <c r="A40" s="1"/>
      <c r="B40" s="1"/>
      <c r="C40" s="1"/>
      <c r="D40" s="1">
        <v>1172.971</v>
      </c>
      <c r="I40">
        <f t="shared" si="7"/>
        <v>7.0681472982090101</v>
      </c>
      <c r="K40" s="1"/>
      <c r="L40" s="1"/>
      <c r="M40" s="1"/>
      <c r="N40" s="1">
        <v>4.5289999999999999</v>
      </c>
      <c r="S40">
        <f t="shared" si="3"/>
        <v>1.7100069673557958</v>
      </c>
    </row>
    <row r="41" spans="1:19" x14ac:dyDescent="0.25">
      <c r="A41" s="1"/>
      <c r="B41" s="1"/>
      <c r="C41" s="1"/>
      <c r="D41" s="1">
        <v>1878.73</v>
      </c>
      <c r="I41">
        <f t="shared" si="7"/>
        <v>7.5388834284888064</v>
      </c>
      <c r="K41" s="1"/>
      <c r="L41" s="1"/>
      <c r="M41" s="1"/>
      <c r="N41" s="1">
        <v>30.547999999999998</v>
      </c>
      <c r="S41">
        <f t="shared" si="3"/>
        <v>3.4515101955357443</v>
      </c>
    </row>
    <row r="42" spans="1:19" x14ac:dyDescent="0.25">
      <c r="A42" s="1"/>
      <c r="B42" s="1"/>
      <c r="C42" s="1"/>
      <c r="D42" s="1">
        <v>6152.1959999999999</v>
      </c>
      <c r="I42">
        <f t="shared" si="7"/>
        <v>8.7247269006131276</v>
      </c>
      <c r="K42" s="1"/>
      <c r="L42" s="1"/>
      <c r="M42" s="1"/>
      <c r="N42" s="1">
        <v>42.677999999999997</v>
      </c>
      <c r="S42">
        <f t="shared" si="3"/>
        <v>3.7768445428425803</v>
      </c>
    </row>
    <row r="43" spans="1:19" x14ac:dyDescent="0.25">
      <c r="A43" s="1"/>
      <c r="B43" s="1"/>
      <c r="C43" s="1"/>
      <c r="D43" s="1">
        <v>3316.59</v>
      </c>
      <c r="I43">
        <f t="shared" si="7"/>
        <v>8.1069938947004765</v>
      </c>
      <c r="K43" s="1"/>
      <c r="L43" s="1"/>
      <c r="M43" s="1"/>
      <c r="N43" s="1">
        <v>1.891</v>
      </c>
      <c r="S43">
        <f t="shared" si="3"/>
        <v>1.0616024630342089</v>
      </c>
    </row>
    <row r="44" spans="1:19" x14ac:dyDescent="0.25">
      <c r="A44" s="1"/>
      <c r="B44" s="1"/>
      <c r="C44" s="1"/>
      <c r="D44" s="1">
        <v>1892.3879999999999</v>
      </c>
      <c r="I44">
        <f t="shared" si="7"/>
        <v>7.5461230958697003</v>
      </c>
      <c r="K44" s="1"/>
      <c r="L44" s="1"/>
      <c r="M44" s="1"/>
      <c r="N44" s="1">
        <v>8.9580000000000002</v>
      </c>
      <c r="S44">
        <f t="shared" si="3"/>
        <v>2.298376248219991</v>
      </c>
    </row>
    <row r="45" spans="1:19" x14ac:dyDescent="0.25">
      <c r="E45" s="3" t="s">
        <v>4</v>
      </c>
      <c r="F45" s="3">
        <f>AVERAGE(F3:F23)</f>
        <v>5.6125695235170845</v>
      </c>
      <c r="G45" s="3">
        <f>AVERAGE(G3:G26)</f>
        <v>6.8052154185890261</v>
      </c>
      <c r="H45" s="3">
        <f>AVERAGE(H3:H35)</f>
        <v>7.0397382429533115</v>
      </c>
      <c r="I45" s="3">
        <f>AVERAGE(I3:I44)</f>
        <v>7.6873259742020981</v>
      </c>
      <c r="O45" s="3" t="s">
        <v>4</v>
      </c>
      <c r="P45" s="3">
        <f>AVERAGE(P3:P23)</f>
        <v>2.1307329974254339</v>
      </c>
      <c r="Q45" s="3">
        <f>AVERAGE(Q3:Q26)</f>
        <v>1.7642705029593557</v>
      </c>
      <c r="R45" s="3">
        <f>AVERAGE(R3:R35)</f>
        <v>1.7314815542216664</v>
      </c>
      <c r="S45" s="3">
        <f>AVERAGE(S3:S44)</f>
        <v>2.3027318815042346</v>
      </c>
    </row>
    <row r="46" spans="1:19" x14ac:dyDescent="0.25">
      <c r="E46" s="3" t="s">
        <v>5</v>
      </c>
      <c r="F46" s="3">
        <v>21</v>
      </c>
      <c r="G46" s="3">
        <v>24</v>
      </c>
      <c r="H46" s="3">
        <v>33</v>
      </c>
      <c r="I46" s="4">
        <v>42</v>
      </c>
      <c r="N46" s="1"/>
      <c r="O46" s="3" t="s">
        <v>5</v>
      </c>
      <c r="P46" s="3">
        <v>21</v>
      </c>
      <c r="Q46" s="3">
        <v>24</v>
      </c>
      <c r="R46" s="3">
        <v>33</v>
      </c>
      <c r="S46" s="4">
        <v>42</v>
      </c>
    </row>
    <row r="47" spans="1:19" x14ac:dyDescent="0.25">
      <c r="E47" s="3" t="s">
        <v>6</v>
      </c>
      <c r="F47" s="3">
        <f>_xlfn.STDEV.P(F3:F23)</f>
        <v>0.42322726984336667</v>
      </c>
      <c r="G47" s="3">
        <f>_xlfn.STDEV.P(G3:G26)</f>
        <v>0.62346787845886065</v>
      </c>
      <c r="H47" s="3">
        <f>_xlfn.STDEV.P(H3:H35)</f>
        <v>0.45987887688156742</v>
      </c>
      <c r="I47" s="3">
        <f>_xlfn.STDEV.P(I3:I44)</f>
        <v>0.65571661131534265</v>
      </c>
      <c r="O47" s="3" t="s">
        <v>6</v>
      </c>
      <c r="P47" s="3">
        <f>_xlfn.STDEV.P(P3:P23)</f>
        <v>0.73360580877747439</v>
      </c>
      <c r="Q47" s="3">
        <f>_xlfn.STDEV.P(Q3:Q26)</f>
        <v>0.83385545257406202</v>
      </c>
      <c r="R47" s="3">
        <f>_xlfn.STDEV.P(R3:R35)</f>
        <v>0.91997034701583658</v>
      </c>
      <c r="S47" s="3">
        <f>_xlfn.STDEV.P(S3:S44)</f>
        <v>0.99608976144386352</v>
      </c>
    </row>
    <row r="48" spans="1:19" x14ac:dyDescent="0.25">
      <c r="E48" s="3" t="s">
        <v>7</v>
      </c>
      <c r="F48" s="3">
        <f>F47/F45*100</f>
        <v>7.5407042722591298</v>
      </c>
      <c r="G48" s="3">
        <f t="shared" ref="G48" si="9">G47/G45*100</f>
        <v>9.1616185544370143</v>
      </c>
      <c r="H48" s="3">
        <f t="shared" ref="H48" si="10">H47/H45*100</f>
        <v>6.5326133019491222</v>
      </c>
      <c r="I48" s="3">
        <f t="shared" ref="I48" si="11">I47/I45*100</f>
        <v>8.5298400707328188</v>
      </c>
      <c r="O48" s="3" t="s">
        <v>7</v>
      </c>
      <c r="P48" s="3">
        <f>P47/P45*100</f>
        <v>34.429738951989329</v>
      </c>
      <c r="Q48" s="3">
        <f t="shared" ref="Q48" si="12">Q47/Q45*100</f>
        <v>47.263469585608775</v>
      </c>
      <c r="R48" s="3">
        <f t="shared" ref="R48" si="13">R47/R45*100</f>
        <v>53.131975028713519</v>
      </c>
      <c r="S48" s="3">
        <f t="shared" ref="S48" si="14">S47/S45*100</f>
        <v>43.256871086232529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Luo</dc:creator>
  <cp:lastModifiedBy>Li Luo</cp:lastModifiedBy>
  <dcterms:created xsi:type="dcterms:W3CDTF">2025-12-02T19:02:08Z</dcterms:created>
  <dcterms:modified xsi:type="dcterms:W3CDTF">2026-04-29T15:31:52Z</dcterms:modified>
</cp:coreProperties>
</file>